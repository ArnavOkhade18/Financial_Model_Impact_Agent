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etrics" sheetId="3" state="visible" r:id="rId3"/>
    <sheet xmlns:r="http://schemas.openxmlformats.org/officeDocument/2006/relationships" name="Segment Revenue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DCF Valuation" sheetId="9" state="visible" r:id="rId9"/>
    <sheet xmlns:r="http://schemas.openxmlformats.org/officeDocument/2006/relationships" name="Ratio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Model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b val="1"/>
      <sz val="13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5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Illustrative Integrated Retail Financial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Purpose</t>
        </is>
      </c>
      <c r="B3" s="2" t="inlineStr">
        <is>
          <t>Synthetic but internally linked model designed to stress-test the Financial Model Impact Analyzer.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Company</t>
        </is>
      </c>
      <c r="B4" s="2" t="inlineStr">
        <is>
          <t>Illustrative RetailCo — not actual Reliance Retail financial data.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Period</t>
        </is>
      </c>
      <c r="B5" s="2" t="inlineStr">
        <is>
          <t>Quarterly model covering Q1 FY25A through Q4 FY28E.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Model depth</t>
        </is>
      </c>
      <c r="B6" s="2" t="inlineStr">
        <is>
          <t>Operating drivers → segment revenue → P&amp;L → balance sheet → cash flow → valuation.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Key test</t>
        </is>
      </c>
      <c r="B7" s="2" t="inlineStr">
        <is>
          <t>Management guidance should map to assumptions and then trace through formulas to downstream outputs.</t>
        </is>
      </c>
      <c r="C7" s="2" t="n"/>
      <c r="D7" s="2" t="n"/>
      <c r="E7" s="2" t="n"/>
      <c r="F7" s="2" t="n"/>
      <c r="G7" s="2" t="n"/>
      <c r="H7" s="2" t="n"/>
    </row>
    <row r="8">
      <c r="A8" s="3" t="inlineStr">
        <is>
          <t>Important</t>
        </is>
      </c>
      <c r="B8" s="2" t="inlineStr">
        <is>
          <t>All figures are illustrative. Do not use this workbook for investment decisions.</t>
        </is>
      </c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4" t="inlineStr">
        <is>
          <t>Suggested demo flow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1. Upload this model.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2. Upload the companion sample earnings-call transcript.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3. Upload the companion analyst notes.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4. Ask the agent to identify forecast/assumption cells affected by management guidance.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5. Validate that it distinguishes direct assumption changes from derived formula impacts.</t>
        </is>
      </c>
      <c r="B16" s="2" t="n"/>
      <c r="C16" s="2" t="n"/>
      <c r="D16" s="2" t="n"/>
      <c r="E16" s="2" t="n"/>
      <c r="F16" s="2" t="n"/>
      <c r="G16" s="2" t="n"/>
      <c r="H16" s="2" t="n"/>
    </row>
  </sheetData>
  <mergeCells count="12">
    <mergeCell ref="A12:H12"/>
    <mergeCell ref="B8:H8"/>
    <mergeCell ref="A15:H15"/>
    <mergeCell ref="B4:H4"/>
    <mergeCell ref="A16:H16"/>
    <mergeCell ref="B6:H6"/>
    <mergeCell ref="A13:H13"/>
    <mergeCell ref="A14:H14"/>
    <mergeCell ref="B7:H7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12" customWidth="1" min="7" max="7"/>
    <col width="12" customWidth="1" min="8" max="8"/>
  </cols>
  <sheetData>
    <row r="1">
      <c r="A1" s="5" t="inlineStr">
        <is>
          <t>Core Forecast Assumptions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6" t="inlineStr">
        <is>
          <t>Assumption</t>
        </is>
      </c>
      <c r="B2" s="6" t="inlineStr">
        <is>
          <t>Unit</t>
        </is>
      </c>
      <c r="C2" s="6" t="inlineStr">
        <is>
          <t>FY26E</t>
        </is>
      </c>
      <c r="D2" s="6" t="inlineStr">
        <is>
          <t>FY27E</t>
        </is>
      </c>
      <c r="E2" s="6" t="inlineStr">
        <is>
          <t>FY28E</t>
        </is>
      </c>
      <c r="F2" s="6" t="inlineStr">
        <is>
          <t>Source / Logic</t>
        </is>
      </c>
      <c r="G2" s="2" t="n"/>
      <c r="H2" s="2" t="n"/>
    </row>
    <row r="3">
      <c r="A3" s="2" t="inlineStr">
        <is>
          <t>Retail Revenue Growth</t>
        </is>
      </c>
      <c r="B3" s="2" t="inlineStr">
        <is>
          <t>%</t>
        </is>
      </c>
      <c r="C3" s="7" t="n">
        <v>0.095</v>
      </c>
      <c r="D3" s="7" t="n">
        <v>0.105</v>
      </c>
      <c r="E3" s="7" t="n">
        <v>0.115</v>
      </c>
      <c r="F3" s="2" t="inlineStr">
        <is>
          <t>Management / analyst scenario</t>
        </is>
      </c>
      <c r="G3" s="2" t="n"/>
      <c r="H3" s="2" t="n"/>
    </row>
    <row r="4">
      <c r="A4" s="2" t="inlineStr">
        <is>
          <t>Fashion Growth</t>
        </is>
      </c>
      <c r="B4" s="2" t="inlineStr">
        <is>
          <t>%</t>
        </is>
      </c>
      <c r="C4" s="7" t="n">
        <v>0.07000000000000001</v>
      </c>
      <c r="D4" s="7" t="n">
        <v>0.08500000000000001</v>
      </c>
      <c r="E4" s="7" t="n">
        <v>0.095</v>
      </c>
      <c r="F4" s="2" t="inlineStr">
        <is>
          <t>Category outlook</t>
        </is>
      </c>
      <c r="G4" s="2" t="n"/>
      <c r="H4" s="2" t="n"/>
    </row>
    <row r="5">
      <c r="A5" s="2" t="inlineStr">
        <is>
          <t>Grocery Growth</t>
        </is>
      </c>
      <c r="B5" s="2" t="inlineStr">
        <is>
          <t>%</t>
        </is>
      </c>
      <c r="C5" s="7" t="n">
        <v>0.12</v>
      </c>
      <c r="D5" s="7" t="n">
        <v>0.125</v>
      </c>
      <c r="E5" s="7" t="n">
        <v>0.13</v>
      </c>
      <c r="F5" s="2" t="inlineStr">
        <is>
          <t>Store expansion + same-store growth</t>
        </is>
      </c>
      <c r="G5" s="2" t="n"/>
      <c r="H5" s="2" t="n"/>
    </row>
    <row r="6">
      <c r="A6" s="2" t="inlineStr">
        <is>
          <t>Consumer Electronics Growth</t>
        </is>
      </c>
      <c r="B6" s="2" t="inlineStr">
        <is>
          <t>%</t>
        </is>
      </c>
      <c r="C6" s="7" t="n">
        <v>0.08500000000000001</v>
      </c>
      <c r="D6" s="7" t="n">
        <v>0.095</v>
      </c>
      <c r="E6" s="7" t="n">
        <v>0.1</v>
      </c>
      <c r="F6" s="2" t="inlineStr">
        <is>
          <t>Demand + digital mix</t>
        </is>
      </c>
      <c r="G6" s="2" t="n"/>
      <c r="H6" s="2" t="n"/>
    </row>
    <row r="7">
      <c r="A7" s="2" t="inlineStr">
        <is>
          <t>Digital Commerce Growth</t>
        </is>
      </c>
      <c r="B7" s="2" t="inlineStr">
        <is>
          <t>%</t>
        </is>
      </c>
      <c r="C7" s="7" t="n">
        <v>0.18</v>
      </c>
      <c r="D7" s="7" t="n">
        <v>0.17</v>
      </c>
      <c r="E7" s="7" t="n">
        <v>0.16</v>
      </c>
      <c r="F7" s="2" t="inlineStr">
        <is>
          <t>Management commentary</t>
        </is>
      </c>
      <c r="G7" s="2" t="n"/>
      <c r="H7" s="2" t="n"/>
    </row>
    <row r="8">
      <c r="A8" s="2" t="inlineStr">
        <is>
          <t>EBITDA Margin</t>
        </is>
      </c>
      <c r="B8" s="2" t="inlineStr">
        <is>
          <t>%</t>
        </is>
      </c>
      <c r="C8" s="7" t="n">
        <v>0.108</v>
      </c>
      <c r="D8" s="7" t="n">
        <v>0.112</v>
      </c>
      <c r="E8" s="7" t="n">
        <v>0.117</v>
      </c>
      <c r="F8" s="2" t="inlineStr">
        <is>
          <t>Operating leverage assumption</t>
        </is>
      </c>
      <c r="G8" s="2" t="n"/>
      <c r="H8" s="2" t="n"/>
    </row>
    <row r="9">
      <c r="A9" s="2" t="inlineStr">
        <is>
          <t>Gross Margin</t>
        </is>
      </c>
      <c r="B9" s="2" t="inlineStr">
        <is>
          <t>%</t>
        </is>
      </c>
      <c r="C9" s="7" t="n">
        <v>0.28</v>
      </c>
      <c r="D9" s="7" t="n">
        <v>0.285</v>
      </c>
      <c r="E9" s="7" t="n">
        <v>0.29</v>
      </c>
      <c r="F9" s="2" t="inlineStr">
        <is>
          <t>Mix / scale assumption</t>
        </is>
      </c>
      <c r="G9" s="2" t="n"/>
      <c r="H9" s="2" t="n"/>
    </row>
    <row r="10">
      <c r="A10" s="2" t="inlineStr">
        <is>
          <t>Store Additions</t>
        </is>
      </c>
      <c r="B10" s="2" t="inlineStr">
        <is>
          <t>stores</t>
        </is>
      </c>
      <c r="C10" s="8" t="n">
        <v>720</v>
      </c>
      <c r="D10" s="8" t="n">
        <v>780</v>
      </c>
      <c r="E10" s="8" t="n">
        <v>850</v>
      </c>
      <c r="F10" s="2" t="inlineStr">
        <is>
          <t>Expansion plan</t>
        </is>
      </c>
      <c r="G10" s="2" t="n"/>
      <c r="H10" s="2" t="n"/>
    </row>
    <row r="11">
      <c r="A11" s="2" t="inlineStr">
        <is>
          <t>Store Closure Rate</t>
        </is>
      </c>
      <c r="B11" s="2" t="inlineStr">
        <is>
          <t>%</t>
        </is>
      </c>
      <c r="C11" s="7" t="n">
        <v>0.01</v>
      </c>
      <c r="D11" s="7" t="n">
        <v>0.01</v>
      </c>
      <c r="E11" s="7" t="n">
        <v>0.01</v>
      </c>
      <c r="F11" s="2" t="inlineStr">
        <is>
          <t>Normal churn</t>
        </is>
      </c>
      <c r="G11" s="2" t="n"/>
      <c r="H11" s="2" t="n"/>
    </row>
    <row r="12">
      <c r="A12" s="2" t="inlineStr">
        <is>
          <t>Same Store Sales Growth</t>
        </is>
      </c>
      <c r="B12" s="2" t="inlineStr">
        <is>
          <t>%</t>
        </is>
      </c>
      <c r="C12" s="7" t="n">
        <v>0.06</v>
      </c>
      <c r="D12" s="7" t="n">
        <v>0.065</v>
      </c>
      <c r="E12" s="7" t="n">
        <v>0.07000000000000001</v>
      </c>
      <c r="F12" s="2" t="inlineStr">
        <is>
          <t>Base case</t>
        </is>
      </c>
      <c r="G12" s="2" t="n"/>
      <c r="H12" s="2" t="n"/>
    </row>
    <row r="13">
      <c r="A13" s="2" t="inlineStr">
        <is>
          <t>Capex</t>
        </is>
      </c>
      <c r="B13" s="2" t="inlineStr">
        <is>
          <t>₹ bn</t>
        </is>
      </c>
      <c r="C13" s="8" t="n">
        <v>32</v>
      </c>
      <c r="D13" s="8" t="n">
        <v>36</v>
      </c>
      <c r="E13" s="8" t="n">
        <v>41</v>
      </c>
      <c r="F13" s="2" t="inlineStr">
        <is>
          <t>Store + digital investment</t>
        </is>
      </c>
      <c r="G13" s="2" t="n"/>
      <c r="H13" s="2" t="n"/>
    </row>
    <row r="14">
      <c r="A14" s="2" t="inlineStr">
        <is>
          <t>D&amp;A / Capex</t>
        </is>
      </c>
      <c r="B14" s="2" t="inlineStr">
        <is>
          <t>%</t>
        </is>
      </c>
      <c r="C14" s="7" t="n">
        <v>0.46</v>
      </c>
      <c r="D14" s="7" t="n">
        <v>0.465</v>
      </c>
      <c r="E14" s="7" t="n">
        <v>0.47</v>
      </c>
      <c r="F14" s="2" t="inlineStr">
        <is>
          <t>Asset mix</t>
        </is>
      </c>
      <c r="G14" s="2" t="n"/>
      <c r="H14" s="2" t="n"/>
    </row>
    <row r="15">
      <c r="A15" s="2" t="inlineStr">
        <is>
          <t>Tax Rate</t>
        </is>
      </c>
      <c r="B15" s="2" t="inlineStr">
        <is>
          <t>%</t>
        </is>
      </c>
      <c r="C15" s="7" t="n">
        <v>0.25</v>
      </c>
      <c r="D15" s="7" t="n">
        <v>0.25</v>
      </c>
      <c r="E15" s="7" t="n">
        <v>0.25</v>
      </c>
      <c r="F15" s="2" t="inlineStr">
        <is>
          <t>Illustrative</t>
        </is>
      </c>
      <c r="G15" s="2" t="n"/>
      <c r="H15" s="2" t="n"/>
    </row>
    <row r="16">
      <c r="A16" s="2" t="inlineStr">
        <is>
          <t>DSO</t>
        </is>
      </c>
      <c r="B16" s="2" t="inlineStr">
        <is>
          <t>days</t>
        </is>
      </c>
      <c r="C16" s="8" t="n">
        <v>12</v>
      </c>
      <c r="D16" s="8" t="n">
        <v>12</v>
      </c>
      <c r="E16" s="8" t="n">
        <v>12</v>
      </c>
      <c r="F16" s="2" t="inlineStr">
        <is>
          <t>Working capital</t>
        </is>
      </c>
      <c r="G16" s="2" t="n"/>
      <c r="H16" s="2" t="n"/>
    </row>
    <row r="17">
      <c r="A17" s="2" t="inlineStr">
        <is>
          <t>Inventory Days</t>
        </is>
      </c>
      <c r="B17" s="2" t="inlineStr">
        <is>
          <t>days</t>
        </is>
      </c>
      <c r="C17" s="8" t="n">
        <v>42</v>
      </c>
      <c r="D17" s="8" t="n">
        <v>41</v>
      </c>
      <c r="E17" s="8" t="n">
        <v>40</v>
      </c>
      <c r="F17" s="2" t="inlineStr">
        <is>
          <t>Working capital efficiency</t>
        </is>
      </c>
      <c r="G17" s="2" t="n"/>
      <c r="H17" s="2" t="n"/>
    </row>
    <row r="18">
      <c r="A18" s="2" t="inlineStr">
        <is>
          <t>DPO</t>
        </is>
      </c>
      <c r="B18" s="2" t="inlineStr">
        <is>
          <t>days</t>
        </is>
      </c>
      <c r="C18" s="8" t="n">
        <v>35</v>
      </c>
      <c r="D18" s="8" t="n">
        <v>36</v>
      </c>
      <c r="E18" s="8" t="n">
        <v>37</v>
      </c>
      <c r="F18" s="2" t="inlineStr">
        <is>
          <t>Supplier terms</t>
        </is>
      </c>
      <c r="G18" s="2" t="n"/>
      <c r="H18" s="2" t="n"/>
    </row>
    <row r="19">
      <c r="A19" s="2" t="inlineStr">
        <is>
          <t>Interest Rate</t>
        </is>
      </c>
      <c r="B19" s="2" t="inlineStr">
        <is>
          <t>%</t>
        </is>
      </c>
      <c r="C19" s="7" t="n">
        <v>0.075</v>
      </c>
      <c r="D19" s="7" t="n">
        <v>0.075</v>
      </c>
      <c r="E19" s="7" t="n">
        <v>0.075</v>
      </c>
      <c r="F19" s="2" t="inlineStr">
        <is>
          <t>Illustrative</t>
        </is>
      </c>
      <c r="G19" s="2" t="n"/>
      <c r="H19" s="2" t="n"/>
    </row>
    <row r="20">
      <c r="A20" s="2" t="inlineStr">
        <is>
          <t>Terminal Growth</t>
        </is>
      </c>
      <c r="B20" s="2" t="inlineStr">
        <is>
          <t>%</t>
        </is>
      </c>
      <c r="C20" s="7" t="n">
        <v>0.04</v>
      </c>
      <c r="D20" s="7" t="n">
        <v>0.04</v>
      </c>
      <c r="E20" s="7" t="n">
        <v>0.04</v>
      </c>
      <c r="F20" s="2" t="inlineStr">
        <is>
          <t>DCF assumption</t>
        </is>
      </c>
      <c r="G20" s="2" t="n"/>
      <c r="H20" s="2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5" t="inlineStr">
        <is>
          <t>Quarterly Operating Drivers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6" t="inlineStr">
        <is>
          <t>Metric</t>
        </is>
      </c>
      <c r="B2" s="6" t="inlineStr">
        <is>
          <t>Q1 FY25A</t>
        </is>
      </c>
      <c r="C2" s="6" t="inlineStr">
        <is>
          <t>Q2 FY25A</t>
        </is>
      </c>
      <c r="D2" s="6" t="inlineStr">
        <is>
          <t>Q3 FY25A</t>
        </is>
      </c>
      <c r="E2" s="6" t="inlineStr">
        <is>
          <t>Q4 FY25A</t>
        </is>
      </c>
      <c r="F2" s="6" t="inlineStr">
        <is>
          <t>Q1 FY26A</t>
        </is>
      </c>
      <c r="G2" s="6" t="inlineStr">
        <is>
          <t>Q2 FY26A</t>
        </is>
      </c>
      <c r="H2" s="6" t="inlineStr">
        <is>
          <t>Q3 FY26A</t>
        </is>
      </c>
      <c r="I2" s="6" t="inlineStr">
        <is>
          <t>Q4 FY26E</t>
        </is>
      </c>
      <c r="J2" s="6" t="inlineStr">
        <is>
          <t>Q1 FY27E</t>
        </is>
      </c>
      <c r="K2" s="6" t="inlineStr">
        <is>
          <t>Q2 FY27E</t>
        </is>
      </c>
      <c r="L2" s="6" t="inlineStr">
        <is>
          <t>Q3 FY27E</t>
        </is>
      </c>
      <c r="M2" s="6" t="inlineStr">
        <is>
          <t>Q4 FY27E</t>
        </is>
      </c>
      <c r="N2" s="6" t="inlineStr">
        <is>
          <t>Q1 FY28E</t>
        </is>
      </c>
      <c r="O2" s="6" t="inlineStr">
        <is>
          <t>Q2 FY28E</t>
        </is>
      </c>
      <c r="P2" s="6" t="inlineStr">
        <is>
          <t>Q3 FY28E</t>
        </is>
      </c>
      <c r="Q2" s="6" t="inlineStr">
        <is>
          <t>Q4 FY28E</t>
        </is>
      </c>
    </row>
    <row r="3">
      <c r="A3" s="2" t="inlineStr">
        <is>
          <t>Store Count</t>
        </is>
      </c>
      <c r="B3" s="8" t="n">
        <v>1500</v>
      </c>
      <c r="C3" s="8" t="n">
        <v>1540</v>
      </c>
      <c r="D3" s="8" t="n">
        <v>1585</v>
      </c>
      <c r="E3" s="8" t="n">
        <v>1630</v>
      </c>
      <c r="F3" s="8" t="n">
        <v>1680</v>
      </c>
      <c r="G3" s="8" t="n">
        <v>1735</v>
      </c>
      <c r="H3" s="8" t="n">
        <v>1790</v>
      </c>
      <c r="I3" s="8" t="n">
        <v>1850</v>
      </c>
      <c r="J3" s="8" t="n">
        <v>1920</v>
      </c>
      <c r="K3" s="8" t="n">
        <v>1990</v>
      </c>
      <c r="L3" s="8" t="n">
        <v>2060</v>
      </c>
      <c r="M3" s="8" t="n">
        <v>2130</v>
      </c>
      <c r="N3" s="8" t="n">
        <v>2210</v>
      </c>
      <c r="O3" s="8" t="n">
        <v>2290</v>
      </c>
      <c r="P3" s="8" t="n">
        <v>2370</v>
      </c>
      <c r="Q3" s="8" t="n">
        <v>2450</v>
      </c>
    </row>
    <row r="4">
      <c r="A4" s="2" t="inlineStr">
        <is>
          <t>New Stores</t>
        </is>
      </c>
      <c r="B4" s="8" t="n">
        <v>35</v>
      </c>
      <c r="C4" s="8" t="n">
        <v>40</v>
      </c>
      <c r="D4" s="8" t="n">
        <v>45</v>
      </c>
      <c r="E4" s="8" t="n">
        <v>45</v>
      </c>
      <c r="F4" s="8" t="n">
        <v>50</v>
      </c>
      <c r="G4" s="8" t="n">
        <v>55</v>
      </c>
      <c r="H4" s="8" t="n">
        <v>55</v>
      </c>
      <c r="I4" s="8" t="n">
        <v>60</v>
      </c>
      <c r="J4" s="8" t="n">
        <v>70</v>
      </c>
      <c r="K4" s="8" t="n">
        <v>70</v>
      </c>
      <c r="L4" s="8" t="n">
        <v>70</v>
      </c>
      <c r="M4" s="8" t="n">
        <v>70</v>
      </c>
      <c r="N4" s="8" t="n">
        <v>80</v>
      </c>
      <c r="O4" s="8" t="n">
        <v>80</v>
      </c>
      <c r="P4" s="8" t="n">
        <v>80</v>
      </c>
      <c r="Q4" s="8" t="n">
        <v>80</v>
      </c>
    </row>
    <row r="5">
      <c r="A5" s="2" t="inlineStr">
        <is>
          <t>Store Closures</t>
        </is>
      </c>
      <c r="B5" s="8" t="n">
        <v>5</v>
      </c>
      <c r="C5" s="8" t="n">
        <v>5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</row>
    <row r="6">
      <c r="A6" s="2" t="inlineStr">
        <is>
          <t>Same Store Sales Growth</t>
        </is>
      </c>
      <c r="B6" s="7" t="n">
        <v>0.04</v>
      </c>
      <c r="C6" s="7" t="n">
        <v>0.045</v>
      </c>
      <c r="D6" s="7" t="n">
        <v>0.05</v>
      </c>
      <c r="E6" s="7" t="n">
        <v>0.055</v>
      </c>
      <c r="F6" s="7" t="n">
        <v>0.055</v>
      </c>
      <c r="G6" s="7" t="n">
        <v>0.06</v>
      </c>
      <c r="H6" s="7" t="n">
        <v>0.06</v>
      </c>
      <c r="I6" s="7" t="n">
        <v>0.06</v>
      </c>
      <c r="J6" s="7" t="n">
        <v>0.06</v>
      </c>
      <c r="K6" s="7" t="n">
        <v>0.065</v>
      </c>
      <c r="L6" s="7" t="n">
        <v>0.065</v>
      </c>
      <c r="M6" s="7" t="n">
        <v>0.065</v>
      </c>
      <c r="N6" s="7" t="n">
        <v>0.07000000000000001</v>
      </c>
      <c r="O6" s="7" t="n">
        <v>0.07000000000000001</v>
      </c>
      <c r="P6" s="7" t="n">
        <v>0.07000000000000001</v>
      </c>
      <c r="Q6" s="7" t="n">
        <v>0.07000000000000001</v>
      </c>
    </row>
    <row r="7">
      <c r="A7" s="2" t="inlineStr">
        <is>
          <t>Digital Mix</t>
        </is>
      </c>
      <c r="B7" s="7" t="n">
        <v>0.12</v>
      </c>
      <c r="C7" s="7" t="n">
        <v>0.125</v>
      </c>
      <c r="D7" s="7" t="n">
        <v>0.13</v>
      </c>
      <c r="E7" s="7" t="n">
        <v>0.135</v>
      </c>
      <c r="F7" s="7" t="n">
        <v>0.14</v>
      </c>
      <c r="G7" s="7" t="n">
        <v>0.145</v>
      </c>
      <c r="H7" s="7" t="n">
        <v>0.15</v>
      </c>
      <c r="I7" s="7" t="n">
        <v>0.155</v>
      </c>
      <c r="J7" s="7" t="n">
        <v>0.16</v>
      </c>
      <c r="K7" s="7" t="n">
        <v>0.165</v>
      </c>
      <c r="L7" s="7" t="n">
        <v>0.17</v>
      </c>
      <c r="M7" s="7" t="n">
        <v>0.175</v>
      </c>
      <c r="N7" s="7" t="n">
        <v>0.18</v>
      </c>
      <c r="O7" s="7" t="n">
        <v>0.185</v>
      </c>
      <c r="P7" s="7" t="n">
        <v>0.19</v>
      </c>
      <c r="Q7" s="7" t="n">
        <v>0.195</v>
      </c>
    </row>
    <row r="8">
      <c r="A8" s="2" t="inlineStr">
        <is>
          <t>Employees (000s)</t>
        </is>
      </c>
      <c r="B8" s="8" t="n">
        <v>95</v>
      </c>
      <c r="C8" s="8" t="n">
        <v>98</v>
      </c>
      <c r="D8" s="8" t="n">
        <v>101</v>
      </c>
      <c r="E8" s="8" t="n">
        <v>104</v>
      </c>
      <c r="F8" s="8" t="n">
        <v>108</v>
      </c>
      <c r="G8" s="8" t="n">
        <v>112</v>
      </c>
      <c r="H8" s="8" t="n">
        <v>116</v>
      </c>
      <c r="I8" s="8" t="n">
        <v>120</v>
      </c>
      <c r="J8" s="8" t="n">
        <v>126</v>
      </c>
      <c r="K8" s="8" t="n">
        <v>132</v>
      </c>
      <c r="L8" s="8" t="n">
        <v>138</v>
      </c>
      <c r="M8" s="8" t="n">
        <v>144</v>
      </c>
      <c r="N8" s="8" t="n">
        <v>151</v>
      </c>
      <c r="O8" s="8" t="n">
        <v>158</v>
      </c>
      <c r="P8" s="8" t="n">
        <v>165</v>
      </c>
      <c r="Q8" s="8" t="n">
        <v>172</v>
      </c>
    </row>
    <row r="9">
      <c r="A9" s="2" t="inlineStr">
        <is>
          <t>Store Productivity Index</t>
        </is>
      </c>
      <c r="B9" s="8" t="n">
        <v>1</v>
      </c>
      <c r="C9" s="8" t="n">
        <v>1.01</v>
      </c>
      <c r="D9" s="8" t="n">
        <v>1.02</v>
      </c>
      <c r="E9" s="8" t="n">
        <v>1.03</v>
      </c>
      <c r="F9" s="8" t="n">
        <v>1.04</v>
      </c>
      <c r="G9" s="8" t="n">
        <v>1.05</v>
      </c>
      <c r="H9" s="8" t="n">
        <v>1.06</v>
      </c>
      <c r="I9" s="8" t="n">
        <v>1.07</v>
      </c>
      <c r="J9" s="8" t="n">
        <v>1.08</v>
      </c>
      <c r="K9" s="8" t="n">
        <v>1.09</v>
      </c>
      <c r="L9" s="8" t="n">
        <v>1.1</v>
      </c>
      <c r="M9" s="8" t="n">
        <v>1.11</v>
      </c>
      <c r="N9" s="8" t="n">
        <v>1.12</v>
      </c>
      <c r="O9" s="8" t="n">
        <v>1.13</v>
      </c>
      <c r="P9" s="8" t="n">
        <v>1.14</v>
      </c>
      <c r="Q9" s="8" t="n">
        <v>1.15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5" t="inlineStr">
        <is>
          <t>Segment Revenue 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6" t="inlineStr">
        <is>
          <t>₹ bn</t>
        </is>
      </c>
      <c r="B2" s="6" t="inlineStr">
        <is>
          <t>Q1 FY25A</t>
        </is>
      </c>
      <c r="C2" s="6" t="inlineStr">
        <is>
          <t>Q2 FY25A</t>
        </is>
      </c>
      <c r="D2" s="6" t="inlineStr">
        <is>
          <t>Q3 FY25A</t>
        </is>
      </c>
      <c r="E2" s="6" t="inlineStr">
        <is>
          <t>Q4 FY25A</t>
        </is>
      </c>
      <c r="F2" s="6" t="inlineStr">
        <is>
          <t>Q1 FY26A</t>
        </is>
      </c>
      <c r="G2" s="6" t="inlineStr">
        <is>
          <t>Q2 FY26A</t>
        </is>
      </c>
      <c r="H2" s="6" t="inlineStr">
        <is>
          <t>Q3 FY26A</t>
        </is>
      </c>
      <c r="I2" s="6" t="inlineStr">
        <is>
          <t>Q4 FY26E</t>
        </is>
      </c>
      <c r="J2" s="6" t="inlineStr">
        <is>
          <t>Q1 FY27E</t>
        </is>
      </c>
      <c r="K2" s="6" t="inlineStr">
        <is>
          <t>Q2 FY27E</t>
        </is>
      </c>
      <c r="L2" s="6" t="inlineStr">
        <is>
          <t>Q3 FY27E</t>
        </is>
      </c>
      <c r="M2" s="6" t="inlineStr">
        <is>
          <t>Q4 FY27E</t>
        </is>
      </c>
      <c r="N2" s="6" t="inlineStr">
        <is>
          <t>Q1 FY28E</t>
        </is>
      </c>
      <c r="O2" s="6" t="inlineStr">
        <is>
          <t>Q2 FY28E</t>
        </is>
      </c>
      <c r="P2" s="6" t="inlineStr">
        <is>
          <t>Q3 FY28E</t>
        </is>
      </c>
      <c r="Q2" s="6" t="inlineStr">
        <is>
          <t>Q4 FY28E</t>
        </is>
      </c>
    </row>
    <row r="3">
      <c r="A3" s="2" t="inlineStr">
        <is>
          <t>Grocery</t>
        </is>
      </c>
      <c r="B3" s="8" t="n">
        <v>24</v>
      </c>
      <c r="C3" s="8" t="n">
        <v>25</v>
      </c>
      <c r="D3" s="8" t="n">
        <v>26</v>
      </c>
      <c r="E3" s="8" t="n">
        <v>28</v>
      </c>
      <c r="F3" s="8" t="n">
        <v>29</v>
      </c>
      <c r="G3" s="8" t="n">
        <v>31</v>
      </c>
      <c r="H3" s="8" t="n">
        <v>33</v>
      </c>
      <c r="I3" s="8" t="n">
        <v>35</v>
      </c>
      <c r="J3" s="8" t="n">
        <v>37</v>
      </c>
      <c r="K3" s="8" t="n">
        <v>39</v>
      </c>
      <c r="L3" s="8" t="n">
        <v>41</v>
      </c>
      <c r="M3" s="8" t="n">
        <v>43</v>
      </c>
      <c r="N3" s="8" t="n">
        <v>46</v>
      </c>
      <c r="O3" s="8" t="n">
        <v>49</v>
      </c>
      <c r="P3" s="8" t="n">
        <v>52</v>
      </c>
      <c r="Q3" s="8" t="n">
        <v>55</v>
      </c>
    </row>
    <row r="4">
      <c r="A4" s="2" t="inlineStr">
        <is>
          <t>Fashion</t>
        </is>
      </c>
      <c r="B4" s="8" t="n">
        <v>12</v>
      </c>
      <c r="C4" s="8" t="n">
        <v>13</v>
      </c>
      <c r="D4" s="8" t="n">
        <v>14</v>
      </c>
      <c r="E4" s="8" t="n">
        <v>15</v>
      </c>
      <c r="F4" s="8" t="n">
        <v>14</v>
      </c>
      <c r="G4" s="8" t="n">
        <v>15</v>
      </c>
      <c r="H4" s="8" t="n">
        <v>16</v>
      </c>
      <c r="I4" s="8" t="n">
        <v>17</v>
      </c>
      <c r="J4" s="8" t="n">
        <v>16</v>
      </c>
      <c r="K4" s="8" t="n">
        <v>17</v>
      </c>
      <c r="L4" s="8" t="n">
        <v>18</v>
      </c>
      <c r="M4" s="8" t="n">
        <v>19</v>
      </c>
      <c r="N4" s="8" t="n">
        <v>18</v>
      </c>
      <c r="O4" s="8" t="n">
        <v>19</v>
      </c>
      <c r="P4" s="8" t="n">
        <v>20</v>
      </c>
      <c r="Q4" s="8" t="n">
        <v>21</v>
      </c>
    </row>
    <row r="5">
      <c r="A5" s="2" t="inlineStr">
        <is>
          <t>Consumer Electronics</t>
        </is>
      </c>
      <c r="B5" s="8" t="n">
        <v>18</v>
      </c>
      <c r="C5" s="8" t="n">
        <v>19</v>
      </c>
      <c r="D5" s="8" t="n">
        <v>20</v>
      </c>
      <c r="E5" s="8" t="n">
        <v>22</v>
      </c>
      <c r="F5" s="8" t="n">
        <v>21</v>
      </c>
      <c r="G5" s="8" t="n">
        <v>22</v>
      </c>
      <c r="H5" s="8" t="n">
        <v>23</v>
      </c>
      <c r="I5" s="8" t="n">
        <v>24</v>
      </c>
      <c r="J5" s="8" t="n">
        <v>23</v>
      </c>
      <c r="K5" s="8" t="n">
        <v>24</v>
      </c>
      <c r="L5" s="8" t="n">
        <v>25</v>
      </c>
      <c r="M5" s="8" t="n">
        <v>26</v>
      </c>
      <c r="N5" s="8" t="n">
        <v>25</v>
      </c>
      <c r="O5" s="8" t="n">
        <v>26</v>
      </c>
      <c r="P5" s="8" t="n">
        <v>27</v>
      </c>
      <c r="Q5" s="8" t="n">
        <v>28</v>
      </c>
    </row>
    <row r="6">
      <c r="A6" s="2" t="inlineStr">
        <is>
          <t>Digital Commerce</t>
        </is>
      </c>
      <c r="B6" s="8" t="n">
        <v>8</v>
      </c>
      <c r="C6" s="8" t="n">
        <v>9</v>
      </c>
      <c r="D6" s="8" t="n">
        <v>10</v>
      </c>
      <c r="E6" s="8" t="n">
        <v>11</v>
      </c>
      <c r="F6" s="8" t="n">
        <v>11</v>
      </c>
      <c r="G6" s="8" t="n">
        <v>12</v>
      </c>
      <c r="H6" s="8" t="n">
        <v>13</v>
      </c>
      <c r="I6" s="8" t="n">
        <v>14</v>
      </c>
      <c r="J6" s="8" t="n">
        <v>14</v>
      </c>
      <c r="K6" s="8" t="n">
        <v>15</v>
      </c>
      <c r="L6" s="8" t="n">
        <v>16</v>
      </c>
      <c r="M6" s="8" t="n">
        <v>17</v>
      </c>
      <c r="N6" s="8" t="n">
        <v>17</v>
      </c>
      <c r="O6" s="8" t="n">
        <v>18</v>
      </c>
      <c r="P6" s="8" t="n">
        <v>19</v>
      </c>
      <c r="Q6" s="8" t="n">
        <v>20</v>
      </c>
    </row>
    <row r="7">
      <c r="A7" s="2" t="inlineStr">
        <is>
          <t>Other Retail</t>
        </is>
      </c>
      <c r="B7" s="8" t="n">
        <v>6</v>
      </c>
      <c r="C7" s="8" t="n">
        <v>6.5</v>
      </c>
      <c r="D7" s="8" t="n">
        <v>7</v>
      </c>
      <c r="E7" s="8" t="n">
        <v>7.5</v>
      </c>
      <c r="F7" s="8" t="n">
        <v>7</v>
      </c>
      <c r="G7" s="8" t="n">
        <v>7.5</v>
      </c>
      <c r="H7" s="8" t="n">
        <v>8</v>
      </c>
      <c r="I7" s="8" t="n">
        <v>8.5</v>
      </c>
      <c r="J7" s="8" t="n">
        <v>8</v>
      </c>
      <c r="K7" s="8" t="n">
        <v>8.5</v>
      </c>
      <c r="L7" s="8" t="n">
        <v>9</v>
      </c>
      <c r="M7" s="8" t="n">
        <v>9.5</v>
      </c>
      <c r="N7" s="8" t="n">
        <v>9</v>
      </c>
      <c r="O7" s="8" t="n">
        <v>9.5</v>
      </c>
      <c r="P7" s="8" t="n">
        <v>10</v>
      </c>
      <c r="Q7" s="8" t="n">
        <v>10.5</v>
      </c>
    </row>
    <row r="8">
      <c r="A8" s="2" t="inlineStr">
        <is>
          <t>Total Revenue</t>
        </is>
      </c>
      <c r="B8" s="2">
        <f>SUM(B3:B7)</f>
        <v/>
      </c>
      <c r="C8" s="2">
        <f>SUM(C3:C7)</f>
        <v/>
      </c>
      <c r="D8" s="2">
        <f>SUM(D3:D7)</f>
        <v/>
      </c>
      <c r="E8" s="2">
        <f>SUM(E3:E7)</f>
        <v/>
      </c>
      <c r="F8" s="2">
        <f>SUM(F3:F7)</f>
        <v/>
      </c>
      <c r="G8" s="2">
        <f>SUM(G3:G7)</f>
        <v/>
      </c>
      <c r="H8" s="2">
        <f>SUM(H3:H7)</f>
        <v/>
      </c>
      <c r="I8" s="2">
        <f>SUM(I3:I7)</f>
        <v/>
      </c>
      <c r="J8" s="2">
        <f>SUM(J3:J7)</f>
        <v/>
      </c>
      <c r="K8" s="2">
        <f>SUM(K3:K7)</f>
        <v/>
      </c>
      <c r="L8" s="2">
        <f>SUM(L3:L7)</f>
        <v/>
      </c>
      <c r="M8" s="2">
        <f>SUM(M3:M7)</f>
        <v/>
      </c>
      <c r="N8" s="2">
        <f>SUM(N3:N7)</f>
        <v/>
      </c>
      <c r="O8" s="2">
        <f>SUM(O3:O7)</f>
        <v/>
      </c>
      <c r="P8" s="2">
        <f>SUM(P3:P7)</f>
        <v/>
      </c>
      <c r="Q8" s="2">
        <f>SUM(Q3:Q7)</f>
        <v/>
      </c>
    </row>
    <row r="9">
      <c r="A9" s="2" t="inlineStr">
        <is>
          <t>YoY Growth</t>
        </is>
      </c>
      <c r="B9" s="9" t="n"/>
      <c r="C9" s="9" t="n"/>
      <c r="D9" s="9" t="n"/>
      <c r="E9" s="9" t="n"/>
      <c r="F9" s="9">
        <f>F8/B8-1</f>
        <v/>
      </c>
      <c r="G9" s="9">
        <f>G8/C8-1</f>
        <v/>
      </c>
      <c r="H9" s="9">
        <f>H8/D8-1</f>
        <v/>
      </c>
      <c r="I9" s="9">
        <f>I8/E8-1</f>
        <v/>
      </c>
      <c r="J9" s="9">
        <f>J8/F8-1</f>
        <v/>
      </c>
      <c r="K9" s="9">
        <f>K8/G8-1</f>
        <v/>
      </c>
      <c r="L9" s="9">
        <f>L8/H8-1</f>
        <v/>
      </c>
      <c r="M9" s="9">
        <f>M8/I8-1</f>
        <v/>
      </c>
      <c r="N9" s="9">
        <f>N8/J8-1</f>
        <v/>
      </c>
      <c r="O9" s="9">
        <f>O8/K8-1</f>
        <v/>
      </c>
      <c r="P9" s="9">
        <f>P8/L8-1</f>
        <v/>
      </c>
      <c r="Q9" s="9">
        <f>Q8/M8-1</f>
        <v/>
      </c>
    </row>
    <row r="10">
      <c r="A10" s="2" t="inlineStr">
        <is>
          <t>Digital % of Revenue</t>
        </is>
      </c>
      <c r="B10" s="9">
        <f>B6/B8</f>
        <v/>
      </c>
      <c r="C10" s="9">
        <f>C6/C8</f>
        <v/>
      </c>
      <c r="D10" s="9">
        <f>D6/D8</f>
        <v/>
      </c>
      <c r="E10" s="9">
        <f>E6/E8</f>
        <v/>
      </c>
      <c r="F10" s="9">
        <f>F6/F8</f>
        <v/>
      </c>
      <c r="G10" s="9">
        <f>G6/G8</f>
        <v/>
      </c>
      <c r="H10" s="9">
        <f>H6/H8</f>
        <v/>
      </c>
      <c r="I10" s="9">
        <f>I6/I8</f>
        <v/>
      </c>
      <c r="J10" s="9">
        <f>J6/J8</f>
        <v/>
      </c>
      <c r="K10" s="9">
        <f>K6/K8</f>
        <v/>
      </c>
      <c r="L10" s="9">
        <f>L6/L8</f>
        <v/>
      </c>
      <c r="M10" s="9">
        <f>M6/M8</f>
        <v/>
      </c>
      <c r="N10" s="9">
        <f>N6/N8</f>
        <v/>
      </c>
      <c r="O10" s="9">
        <f>O6/O8</f>
        <v/>
      </c>
      <c r="P10" s="9">
        <f>P6/P8</f>
        <v/>
      </c>
      <c r="Q10" s="9">
        <f>Q6/Q8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</cols>
  <sheetData>
    <row r="1">
      <c r="A1" s="5" t="inlineStr">
        <is>
          <t>Quarterly Profit &amp; Loss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6" t="inlineStr">
        <is>
          <t>₹ bn</t>
        </is>
      </c>
      <c r="B2" s="6" t="inlineStr">
        <is>
          <t>Q1 FY25A</t>
        </is>
      </c>
      <c r="C2" s="6" t="inlineStr">
        <is>
          <t>Q2 FY25A</t>
        </is>
      </c>
      <c r="D2" s="6" t="inlineStr">
        <is>
          <t>Q3 FY25A</t>
        </is>
      </c>
      <c r="E2" s="6" t="inlineStr">
        <is>
          <t>Q4 FY25A</t>
        </is>
      </c>
      <c r="F2" s="6" t="inlineStr">
        <is>
          <t>Q1 FY26A</t>
        </is>
      </c>
      <c r="G2" s="6" t="inlineStr">
        <is>
          <t>Q2 FY26A</t>
        </is>
      </c>
      <c r="H2" s="6" t="inlineStr">
        <is>
          <t>Q3 FY26A</t>
        </is>
      </c>
      <c r="I2" s="6" t="inlineStr">
        <is>
          <t>Q4 FY26E</t>
        </is>
      </c>
      <c r="J2" s="6" t="inlineStr">
        <is>
          <t>Q1 FY27E</t>
        </is>
      </c>
      <c r="K2" s="6" t="inlineStr">
        <is>
          <t>Q2 FY27E</t>
        </is>
      </c>
      <c r="L2" s="6" t="inlineStr">
        <is>
          <t>Q3 FY27E</t>
        </is>
      </c>
      <c r="M2" s="6" t="inlineStr">
        <is>
          <t>Q4 FY27E</t>
        </is>
      </c>
      <c r="N2" s="6" t="inlineStr">
        <is>
          <t>Q1 FY28E</t>
        </is>
      </c>
      <c r="O2" s="6" t="inlineStr">
        <is>
          <t>Q2 FY28E</t>
        </is>
      </c>
      <c r="P2" s="6" t="inlineStr">
        <is>
          <t>Q3 FY28E</t>
        </is>
      </c>
      <c r="Q2" s="6" t="inlineStr">
        <is>
          <t>Q4 FY28E</t>
        </is>
      </c>
    </row>
    <row r="3">
      <c r="A3" s="2" t="inlineStr">
        <is>
          <t>Revenue</t>
        </is>
      </c>
      <c r="B3" s="10">
        <f>'Segment Revenue'!B8</f>
        <v/>
      </c>
      <c r="C3" s="10">
        <f>'Segment Revenue'!C8</f>
        <v/>
      </c>
      <c r="D3" s="10">
        <f>'Segment Revenue'!D8</f>
        <v/>
      </c>
      <c r="E3" s="10">
        <f>'Segment Revenue'!E8</f>
        <v/>
      </c>
      <c r="F3" s="10">
        <f>'Segment Revenue'!F8</f>
        <v/>
      </c>
      <c r="G3" s="10">
        <f>'Segment Revenue'!G8</f>
        <v/>
      </c>
      <c r="H3" s="10">
        <f>'Segment Revenue'!H8</f>
        <v/>
      </c>
      <c r="I3" s="10">
        <f>'Segment Revenue'!I8</f>
        <v/>
      </c>
      <c r="J3" s="10">
        <f>'Segment Revenue'!J8</f>
        <v/>
      </c>
      <c r="K3" s="10">
        <f>'Segment Revenue'!K8</f>
        <v/>
      </c>
      <c r="L3" s="10">
        <f>'Segment Revenue'!L8</f>
        <v/>
      </c>
      <c r="M3" s="10">
        <f>'Segment Revenue'!M8</f>
        <v/>
      </c>
      <c r="N3" s="10">
        <f>'Segment Revenue'!N8</f>
        <v/>
      </c>
      <c r="O3" s="10">
        <f>'Segment Revenue'!O8</f>
        <v/>
      </c>
      <c r="P3" s="10">
        <f>'Segment Revenue'!P8</f>
        <v/>
      </c>
      <c r="Q3" s="10">
        <f>'Segment Revenue'!Q8</f>
        <v/>
      </c>
    </row>
    <row r="4">
      <c r="A4" s="2" t="inlineStr">
        <is>
          <t>COGS</t>
        </is>
      </c>
      <c r="B4" s="10">
        <f>B3*(1-IF(B$2="Q4 FY26E",Assumptions!$D$9,IF(B$2="Q4 FY27E",Assumptions!$E$9,IF(B$2="Q4 FY28E",Assumptions!$F$9,0.72))))</f>
        <v/>
      </c>
      <c r="C4" s="10">
        <f>C3*(1-IF(C$2="Q4 FY26E",Assumptions!$D$9,IF(C$2="Q4 FY27E",Assumptions!$E$9,IF(C$2="Q4 FY28E",Assumptions!$F$9,0.72))))</f>
        <v/>
      </c>
      <c r="D4" s="10">
        <f>D3*(1-IF(D$2="Q4 FY26E",Assumptions!$D$9,IF(D$2="Q4 FY27E",Assumptions!$E$9,IF(D$2="Q4 FY28E",Assumptions!$F$9,0.72))))</f>
        <v/>
      </c>
      <c r="E4" s="10">
        <f>E3*(1-IF(E$2="Q4 FY26E",Assumptions!$D$9,IF(E$2="Q4 FY27E",Assumptions!$E$9,IF(E$2="Q4 FY28E",Assumptions!$F$9,0.72))))</f>
        <v/>
      </c>
      <c r="F4" s="10">
        <f>F3*(1-IF(F$2="Q4 FY26E",Assumptions!$D$9,IF(F$2="Q4 FY27E",Assumptions!$E$9,IF(F$2="Q4 FY28E",Assumptions!$F$9,0.72))))</f>
        <v/>
      </c>
      <c r="G4" s="10">
        <f>G3*(1-IF(G$2="Q4 FY26E",Assumptions!$D$9,IF(G$2="Q4 FY27E",Assumptions!$E$9,IF(G$2="Q4 FY28E",Assumptions!$F$9,0.72))))</f>
        <v/>
      </c>
      <c r="H4" s="10">
        <f>H3*(1-IF(H$2="Q4 FY26E",Assumptions!$D$9,IF(H$2="Q4 FY27E",Assumptions!$E$9,IF(H$2="Q4 FY28E",Assumptions!$F$9,0.72))))</f>
        <v/>
      </c>
      <c r="I4" s="10">
        <f>I3*(1-IF(I$2="Q4 FY26E",Assumptions!$D$9,IF(I$2="Q4 FY27E",Assumptions!$E$9,IF(I$2="Q4 FY28E",Assumptions!$F$9,0.72))))</f>
        <v/>
      </c>
      <c r="J4" s="10">
        <f>J3*(1-IF(J$2="Q4 FY26E",Assumptions!$D$9,IF(J$2="Q4 FY27E",Assumptions!$E$9,IF(J$2="Q4 FY28E",Assumptions!$F$9,0.72))))</f>
        <v/>
      </c>
      <c r="K4" s="10">
        <f>K3*(1-IF(K$2="Q4 FY26E",Assumptions!$D$9,IF(K$2="Q4 FY27E",Assumptions!$E$9,IF(K$2="Q4 FY28E",Assumptions!$F$9,0.72))))</f>
        <v/>
      </c>
      <c r="L4" s="10">
        <f>L3*(1-IF(L$2="Q4 FY26E",Assumptions!$D$9,IF(L$2="Q4 FY27E",Assumptions!$E$9,IF(L$2="Q4 FY28E",Assumptions!$F$9,0.72))))</f>
        <v/>
      </c>
      <c r="M4" s="10">
        <f>M3*(1-IF(M$2="Q4 FY26E",Assumptions!$D$9,IF(M$2="Q4 FY27E",Assumptions!$E$9,IF(M$2="Q4 FY28E",Assumptions!$F$9,0.72))))</f>
        <v/>
      </c>
      <c r="N4" s="10">
        <f>N3*(1-IF(N$2="Q4 FY26E",Assumptions!$D$9,IF(N$2="Q4 FY27E",Assumptions!$E$9,IF(N$2="Q4 FY28E",Assumptions!$F$9,0.72))))</f>
        <v/>
      </c>
      <c r="O4" s="10">
        <f>O3*(1-IF(O$2="Q4 FY26E",Assumptions!$D$9,IF(O$2="Q4 FY27E",Assumptions!$E$9,IF(O$2="Q4 FY28E",Assumptions!$F$9,0.72))))</f>
        <v/>
      </c>
      <c r="P4" s="10">
        <f>P3*(1-IF(P$2="Q4 FY26E",Assumptions!$D$9,IF(P$2="Q4 FY27E",Assumptions!$E$9,IF(P$2="Q4 FY28E",Assumptions!$F$9,0.72))))</f>
        <v/>
      </c>
      <c r="Q4" s="10">
        <f>Q3*(1-IF(Q$2="Q4 FY26E",Assumptions!$D$9,IF(Q$2="Q4 FY27E",Assumptions!$E$9,IF(Q$2="Q4 FY28E",Assumptions!$F$9,0.72))))</f>
        <v/>
      </c>
    </row>
    <row r="5">
      <c r="A5" s="2" t="inlineStr">
        <is>
          <t>Gross Profit</t>
        </is>
      </c>
      <c r="B5" s="10">
        <f>B3-B4</f>
        <v/>
      </c>
      <c r="C5" s="10">
        <f>C3-C4</f>
        <v/>
      </c>
      <c r="D5" s="10">
        <f>D3-D4</f>
        <v/>
      </c>
      <c r="E5" s="10">
        <f>E3-E4</f>
        <v/>
      </c>
      <c r="F5" s="10">
        <f>F3-F4</f>
        <v/>
      </c>
      <c r="G5" s="10">
        <f>G3-G4</f>
        <v/>
      </c>
      <c r="H5" s="10">
        <f>H3-H4</f>
        <v/>
      </c>
      <c r="I5" s="10">
        <f>I3-I4</f>
        <v/>
      </c>
      <c r="J5" s="10">
        <f>J3-J4</f>
        <v/>
      </c>
      <c r="K5" s="10">
        <f>K3-K4</f>
        <v/>
      </c>
      <c r="L5" s="10">
        <f>L3-L4</f>
        <v/>
      </c>
      <c r="M5" s="10">
        <f>M3-M4</f>
        <v/>
      </c>
      <c r="N5" s="10">
        <f>N3-N4</f>
        <v/>
      </c>
      <c r="O5" s="10">
        <f>O3-O4</f>
        <v/>
      </c>
      <c r="P5" s="10">
        <f>P3-P4</f>
        <v/>
      </c>
      <c r="Q5" s="10">
        <f>Q3-Q4</f>
        <v/>
      </c>
    </row>
    <row r="6">
      <c r="A6" s="2" t="inlineStr">
        <is>
          <t>Gross Margin</t>
        </is>
      </c>
      <c r="B6" s="9">
        <f>B5/B3</f>
        <v/>
      </c>
      <c r="C6" s="9">
        <f>C5/C3</f>
        <v/>
      </c>
      <c r="D6" s="9">
        <f>D5/D3</f>
        <v/>
      </c>
      <c r="E6" s="9">
        <f>E5/E3</f>
        <v/>
      </c>
      <c r="F6" s="9">
        <f>F5/F3</f>
        <v/>
      </c>
      <c r="G6" s="9">
        <f>G5/G3</f>
        <v/>
      </c>
      <c r="H6" s="9">
        <f>H5/H3</f>
        <v/>
      </c>
      <c r="I6" s="9">
        <f>I5/I3</f>
        <v/>
      </c>
      <c r="J6" s="9">
        <f>J5/J3</f>
        <v/>
      </c>
      <c r="K6" s="9">
        <f>K5/K3</f>
        <v/>
      </c>
      <c r="L6" s="9">
        <f>L5/L3</f>
        <v/>
      </c>
      <c r="M6" s="9">
        <f>M5/M3</f>
        <v/>
      </c>
      <c r="N6" s="9">
        <f>N5/N3</f>
        <v/>
      </c>
      <c r="O6" s="9">
        <f>O5/O3</f>
        <v/>
      </c>
      <c r="P6" s="9">
        <f>P5/P3</f>
        <v/>
      </c>
      <c r="Q6" s="9">
        <f>Q5/Q3</f>
        <v/>
      </c>
    </row>
    <row r="7">
      <c r="A7" s="2" t="inlineStr">
        <is>
          <t>Operating Expenses</t>
        </is>
      </c>
      <c r="B7" s="10">
        <f>B3*0.172</f>
        <v/>
      </c>
      <c r="C7" s="10">
        <f>C3*0.172</f>
        <v/>
      </c>
      <c r="D7" s="10">
        <f>D3*0.172</f>
        <v/>
      </c>
      <c r="E7" s="10">
        <f>E3*0.172</f>
        <v/>
      </c>
      <c r="F7" s="10">
        <f>F3*0.172</f>
        <v/>
      </c>
      <c r="G7" s="10">
        <f>G3*0.172</f>
        <v/>
      </c>
      <c r="H7" s="10">
        <f>H3*0.172</f>
        <v/>
      </c>
      <c r="I7" s="10">
        <f>I3*0.172</f>
        <v/>
      </c>
      <c r="J7" s="10">
        <f>J3*(1-IF(J$2="Q4 FY26E",Assumptions!$D$8,IF(J$2="Q4 FY27E",Assumptions!$E$8,Assumptions!$F$8))-0.72)</f>
        <v/>
      </c>
      <c r="K7" s="10">
        <f>K3*(1-IF(K$2="Q4 FY26E",Assumptions!$D$8,IF(K$2="Q4 FY27E",Assumptions!$E$8,Assumptions!$F$8))-0.72)</f>
        <v/>
      </c>
      <c r="L7" s="10">
        <f>L3*(1-IF(L$2="Q4 FY26E",Assumptions!$D$8,IF(L$2="Q4 FY27E",Assumptions!$E$8,Assumptions!$F$8))-0.72)</f>
        <v/>
      </c>
      <c r="M7" s="10">
        <f>M3*(1-IF(M$2="Q4 FY26E",Assumptions!$D$8,IF(M$2="Q4 FY27E",Assumptions!$E$8,Assumptions!$F$8))-0.72)</f>
        <v/>
      </c>
      <c r="N7" s="10">
        <f>N3*(1-IF(N$2="Q4 FY26E",Assumptions!$D$8,IF(N$2="Q4 FY27E",Assumptions!$E$8,Assumptions!$F$8))-0.72)</f>
        <v/>
      </c>
      <c r="O7" s="10">
        <f>O3*(1-IF(O$2="Q4 FY26E",Assumptions!$D$8,IF(O$2="Q4 FY27E",Assumptions!$E$8,Assumptions!$F$8))-0.72)</f>
        <v/>
      </c>
      <c r="P7" s="10">
        <f>P3*(1-IF(P$2="Q4 FY26E",Assumptions!$D$8,IF(P$2="Q4 FY27E",Assumptions!$E$8,Assumptions!$F$8))-0.72)</f>
        <v/>
      </c>
      <c r="Q7" s="10">
        <f>Q3*(1-IF(Q$2="Q4 FY26E",Assumptions!$D$8,IF(Q$2="Q4 FY27E",Assumptions!$E$8,Assumptions!$F$8))-0.72)</f>
        <v/>
      </c>
    </row>
    <row r="8">
      <c r="A8" s="2" t="inlineStr">
        <is>
          <t>EBITDA</t>
        </is>
      </c>
      <c r="B8" s="10">
        <f>B5-B7</f>
        <v/>
      </c>
      <c r="C8" s="10">
        <f>C5-C7</f>
        <v/>
      </c>
      <c r="D8" s="10">
        <f>D5-D7</f>
        <v/>
      </c>
      <c r="E8" s="10">
        <f>E5-E7</f>
        <v/>
      </c>
      <c r="F8" s="10">
        <f>F5-F7</f>
        <v/>
      </c>
      <c r="G8" s="10">
        <f>G5-G7</f>
        <v/>
      </c>
      <c r="H8" s="10">
        <f>H5-H7</f>
        <v/>
      </c>
      <c r="I8" s="10">
        <f>I5-I7</f>
        <v/>
      </c>
      <c r="J8" s="10">
        <f>J5-J7</f>
        <v/>
      </c>
      <c r="K8" s="10">
        <f>K5-K7</f>
        <v/>
      </c>
      <c r="L8" s="10">
        <f>L5-L7</f>
        <v/>
      </c>
      <c r="M8" s="10">
        <f>M5-M7</f>
        <v/>
      </c>
      <c r="N8" s="10">
        <f>N5-N7</f>
        <v/>
      </c>
      <c r="O8" s="10">
        <f>O5-O7</f>
        <v/>
      </c>
      <c r="P8" s="10">
        <f>P5-P7</f>
        <v/>
      </c>
      <c r="Q8" s="10">
        <f>Q5-Q7</f>
        <v/>
      </c>
    </row>
    <row r="9">
      <c r="A9" s="2" t="inlineStr">
        <is>
          <t>EBITDA Margin</t>
        </is>
      </c>
      <c r="B9" s="9">
        <f>B8/B3</f>
        <v/>
      </c>
      <c r="C9" s="9">
        <f>C8/C3</f>
        <v/>
      </c>
      <c r="D9" s="9">
        <f>D8/D3</f>
        <v/>
      </c>
      <c r="E9" s="9">
        <f>E8/E3</f>
        <v/>
      </c>
      <c r="F9" s="9">
        <f>F8/F3</f>
        <v/>
      </c>
      <c r="G9" s="9">
        <f>G8/G3</f>
        <v/>
      </c>
      <c r="H9" s="9">
        <f>H8/H3</f>
        <v/>
      </c>
      <c r="I9" s="9">
        <f>I8/I3</f>
        <v/>
      </c>
      <c r="J9" s="9">
        <f>J8/J3</f>
        <v/>
      </c>
      <c r="K9" s="9">
        <f>K8/K3</f>
        <v/>
      </c>
      <c r="L9" s="9">
        <f>L8/L3</f>
        <v/>
      </c>
      <c r="M9" s="9">
        <f>M8/M3</f>
        <v/>
      </c>
      <c r="N9" s="9">
        <f>N8/N3</f>
        <v/>
      </c>
      <c r="O9" s="9">
        <f>O8/O3</f>
        <v/>
      </c>
      <c r="P9" s="9">
        <f>P8/P3</f>
        <v/>
      </c>
      <c r="Q9" s="9">
        <f>Q8/Q3</f>
        <v/>
      </c>
    </row>
    <row r="10">
      <c r="A10" s="2" t="inlineStr">
        <is>
          <t>D&amp;A</t>
        </is>
      </c>
      <c r="B10" s="10">
        <f>B8*0.20</f>
        <v/>
      </c>
      <c r="C10" s="10">
        <f>C8*0.20</f>
        <v/>
      </c>
      <c r="D10" s="10">
        <f>D8*0.20</f>
        <v/>
      </c>
      <c r="E10" s="10">
        <f>E8*0.20</f>
        <v/>
      </c>
      <c r="F10" s="10">
        <f>F8*0.20</f>
        <v/>
      </c>
      <c r="G10" s="10">
        <f>G8*0.20</f>
        <v/>
      </c>
      <c r="H10" s="10">
        <f>H8*0.20</f>
        <v/>
      </c>
      <c r="I10" s="10">
        <f>I8*0.20</f>
        <v/>
      </c>
      <c r="J10" s="10">
        <f>'Cash Flow'!J15</f>
        <v/>
      </c>
      <c r="K10" s="10">
        <f>'Cash Flow'!K15</f>
        <v/>
      </c>
      <c r="L10" s="10">
        <f>'Cash Flow'!L15</f>
        <v/>
      </c>
      <c r="M10" s="10">
        <f>'Cash Flow'!M15</f>
        <v/>
      </c>
      <c r="N10" s="10">
        <f>'Cash Flow'!N15</f>
        <v/>
      </c>
      <c r="O10" s="10">
        <f>'Cash Flow'!O15</f>
        <v/>
      </c>
      <c r="P10" s="10">
        <f>'Cash Flow'!P15</f>
        <v/>
      </c>
      <c r="Q10" s="10">
        <f>'Cash Flow'!Q15</f>
        <v/>
      </c>
    </row>
    <row r="11">
      <c r="A11" s="2" t="inlineStr">
        <is>
          <t>EBIT</t>
        </is>
      </c>
      <c r="B11" s="10">
        <f>B8-B10</f>
        <v/>
      </c>
      <c r="C11" s="10">
        <f>C8-C10</f>
        <v/>
      </c>
      <c r="D11" s="10">
        <f>D8-D10</f>
        <v/>
      </c>
      <c r="E11" s="10">
        <f>E8-E10</f>
        <v/>
      </c>
      <c r="F11" s="10">
        <f>F8-F10</f>
        <v/>
      </c>
      <c r="G11" s="10">
        <f>G8-G10</f>
        <v/>
      </c>
      <c r="H11" s="10">
        <f>H8-H10</f>
        <v/>
      </c>
      <c r="I11" s="10">
        <f>I8-I10</f>
        <v/>
      </c>
      <c r="J11" s="10">
        <f>J8-J10</f>
        <v/>
      </c>
      <c r="K11" s="10">
        <f>K8-K10</f>
        <v/>
      </c>
      <c r="L11" s="10">
        <f>L8-L10</f>
        <v/>
      </c>
      <c r="M11" s="10">
        <f>M8-M10</f>
        <v/>
      </c>
      <c r="N11" s="10">
        <f>N8-N10</f>
        <v/>
      </c>
      <c r="O11" s="10">
        <f>O8-O10</f>
        <v/>
      </c>
      <c r="P11" s="10">
        <f>P8-P10</f>
        <v/>
      </c>
      <c r="Q11" s="10">
        <f>Q8-Q10</f>
        <v/>
      </c>
    </row>
    <row r="12">
      <c r="A12" s="2" t="inlineStr">
        <is>
          <t>Interest Expense</t>
        </is>
      </c>
      <c r="B12" s="10">
        <f>B3*0.012</f>
        <v/>
      </c>
      <c r="C12" s="10">
        <f>C3*0.012</f>
        <v/>
      </c>
      <c r="D12" s="10">
        <f>D3*0.012</f>
        <v/>
      </c>
      <c r="E12" s="10">
        <f>E3*0.012</f>
        <v/>
      </c>
      <c r="F12" s="10">
        <f>F3*0.012</f>
        <v/>
      </c>
      <c r="G12" s="10">
        <f>G3*0.012</f>
        <v/>
      </c>
      <c r="H12" s="10">
        <f>H3*0.012</f>
        <v/>
      </c>
      <c r="I12" s="10">
        <f>'Balance Sheet'!I19*IF(I$2="Q4 FY26E",Assumptions!$D$19,IF(I$2="Q4 FY27E",Assumptions!$E$19,Assumptions!$F$19))/4</f>
        <v/>
      </c>
      <c r="J12" s="10">
        <f>'Balance Sheet'!J19*IF(J$2="Q4 FY26E",Assumptions!$D$19,IF(J$2="Q4 FY27E",Assumptions!$E$19,Assumptions!$F$19))/4</f>
        <v/>
      </c>
      <c r="K12" s="10">
        <f>'Balance Sheet'!K19*IF(K$2="Q4 FY26E",Assumptions!$D$19,IF(K$2="Q4 FY27E",Assumptions!$E$19,Assumptions!$F$19))/4</f>
        <v/>
      </c>
      <c r="L12" s="10">
        <f>'Balance Sheet'!L19*IF(L$2="Q4 FY26E",Assumptions!$D$19,IF(L$2="Q4 FY27E",Assumptions!$E$19,Assumptions!$F$19))/4</f>
        <v/>
      </c>
      <c r="M12" s="10">
        <f>'Balance Sheet'!M19*IF(M$2="Q4 FY26E",Assumptions!$D$19,IF(M$2="Q4 FY27E",Assumptions!$E$19,Assumptions!$F$19))/4</f>
        <v/>
      </c>
      <c r="N12" s="10">
        <f>'Balance Sheet'!N19*IF(N$2="Q4 FY26E",Assumptions!$D$19,IF(N$2="Q4 FY27E",Assumptions!$E$19,Assumptions!$F$19))/4</f>
        <v/>
      </c>
      <c r="O12" s="10">
        <f>'Balance Sheet'!O19*IF(O$2="Q4 FY26E",Assumptions!$D$19,IF(O$2="Q4 FY27E",Assumptions!$E$19,Assumptions!$F$19))/4</f>
        <v/>
      </c>
      <c r="P12" s="10">
        <f>'Balance Sheet'!P19*IF(P$2="Q4 FY26E",Assumptions!$D$19,IF(P$2="Q4 FY27E",Assumptions!$E$19,Assumptions!$F$19))/4</f>
        <v/>
      </c>
      <c r="Q12" s="10">
        <f>'Balance Sheet'!Q19*IF(Q$2="Q4 FY26E",Assumptions!$D$19,IF(Q$2="Q4 FY27E",Assumptions!$E$19,Assumptions!$F$19))/4</f>
        <v/>
      </c>
    </row>
    <row r="13">
      <c r="A13" s="2" t="inlineStr">
        <is>
          <t>EBT</t>
        </is>
      </c>
      <c r="B13" s="10">
        <f>B11-B12</f>
        <v/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</row>
    <row r="14">
      <c r="A14" s="2" t="inlineStr">
        <is>
          <t>Tax</t>
        </is>
      </c>
      <c r="B14" s="10">
        <f>MAX(0,B13*0.25)</f>
        <v/>
      </c>
      <c r="C14" s="10">
        <f>MAX(0,C13*0.25)</f>
        <v/>
      </c>
      <c r="D14" s="10">
        <f>MAX(0,D13*0.25)</f>
        <v/>
      </c>
      <c r="E14" s="10">
        <f>MAX(0,E13*0.25)</f>
        <v/>
      </c>
      <c r="F14" s="10">
        <f>MAX(0,F13*0.25)</f>
        <v/>
      </c>
      <c r="G14" s="10">
        <f>MAX(0,G13*0.25)</f>
        <v/>
      </c>
      <c r="H14" s="10">
        <f>MAX(0,H13*0.25)</f>
        <v/>
      </c>
      <c r="I14" s="10">
        <f>MAX(0,I13*0.25)</f>
        <v/>
      </c>
      <c r="J14" s="10">
        <f>MAX(0,J13*0.25)</f>
        <v/>
      </c>
      <c r="K14" s="10">
        <f>MAX(0,K13*0.25)</f>
        <v/>
      </c>
      <c r="L14" s="10">
        <f>MAX(0,L13*0.25)</f>
        <v/>
      </c>
      <c r="M14" s="10">
        <f>MAX(0,M13*0.25)</f>
        <v/>
      </c>
      <c r="N14" s="10">
        <f>MAX(0,N13*0.25)</f>
        <v/>
      </c>
      <c r="O14" s="10">
        <f>MAX(0,O13*0.25)</f>
        <v/>
      </c>
      <c r="P14" s="10">
        <f>MAX(0,P13*0.25)</f>
        <v/>
      </c>
      <c r="Q14" s="10">
        <f>MAX(0,Q13*0.25)</f>
        <v/>
      </c>
    </row>
    <row r="15">
      <c r="A15" s="2" t="inlineStr">
        <is>
          <t>Net Income</t>
        </is>
      </c>
      <c r="B15" s="10">
        <f>B13-B14</f>
        <v/>
      </c>
      <c r="C15" s="10">
        <f>C13-C14</f>
        <v/>
      </c>
      <c r="D15" s="10">
        <f>D13-D14</f>
        <v/>
      </c>
      <c r="E15" s="10">
        <f>E13-E14</f>
        <v/>
      </c>
      <c r="F15" s="10">
        <f>F13-F14</f>
        <v/>
      </c>
      <c r="G15" s="10">
        <f>G13-G14</f>
        <v/>
      </c>
      <c r="H15" s="10">
        <f>H13-H14</f>
        <v/>
      </c>
      <c r="I15" s="10">
        <f>I13-I14</f>
        <v/>
      </c>
      <c r="J15" s="10">
        <f>J13-J14</f>
        <v/>
      </c>
      <c r="K15" s="10">
        <f>K13-K14</f>
        <v/>
      </c>
      <c r="L15" s="10">
        <f>L13-L14</f>
        <v/>
      </c>
      <c r="M15" s="10">
        <f>M13-M14</f>
        <v/>
      </c>
      <c r="N15" s="10">
        <f>N13-N14</f>
        <v/>
      </c>
      <c r="O15" s="10">
        <f>O13-O14</f>
        <v/>
      </c>
      <c r="P15" s="10">
        <f>P13-P14</f>
        <v/>
      </c>
      <c r="Q15" s="10">
        <f>Q13-Q14</f>
        <v/>
      </c>
    </row>
    <row r="16">
      <c r="A16" s="2" t="inlineStr">
        <is>
          <t>EPS</t>
        </is>
      </c>
      <c r="B16" s="10">
        <f>B15/25</f>
        <v/>
      </c>
      <c r="C16" s="10">
        <f>C15/25</f>
        <v/>
      </c>
      <c r="D16" s="10">
        <f>D15/25</f>
        <v/>
      </c>
      <c r="E16" s="10">
        <f>E15/25</f>
        <v/>
      </c>
      <c r="F16" s="10">
        <f>F15/25</f>
        <v/>
      </c>
      <c r="G16" s="10">
        <f>G15/25</f>
        <v/>
      </c>
      <c r="H16" s="10">
        <f>H15/25</f>
        <v/>
      </c>
      <c r="I16" s="10">
        <f>I15/25</f>
        <v/>
      </c>
      <c r="J16" s="10">
        <f>J15/25</f>
        <v/>
      </c>
      <c r="K16" s="10">
        <f>K15/25</f>
        <v/>
      </c>
      <c r="L16" s="10">
        <f>L15/25</f>
        <v/>
      </c>
      <c r="M16" s="10">
        <f>M15/25</f>
        <v/>
      </c>
      <c r="N16" s="10">
        <f>N15/25</f>
        <v/>
      </c>
      <c r="O16" s="10">
        <f>O15/25</f>
        <v/>
      </c>
      <c r="P16" s="10">
        <f>P15/25</f>
        <v/>
      </c>
      <c r="Q16" s="10">
        <f>Q15/25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5" t="inlineStr">
        <is>
          <t>Quarterly Balance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6" t="inlineStr">
        <is>
          <t>₹ bn</t>
        </is>
      </c>
      <c r="B2" s="6" t="inlineStr">
        <is>
          <t>Q1 FY25A</t>
        </is>
      </c>
      <c r="C2" s="6" t="inlineStr">
        <is>
          <t>Q2 FY25A</t>
        </is>
      </c>
      <c r="D2" s="6" t="inlineStr">
        <is>
          <t>Q3 FY25A</t>
        </is>
      </c>
      <c r="E2" s="6" t="inlineStr">
        <is>
          <t>Q4 FY25A</t>
        </is>
      </c>
      <c r="F2" s="6" t="inlineStr">
        <is>
          <t>Q1 FY26A</t>
        </is>
      </c>
      <c r="G2" s="6" t="inlineStr">
        <is>
          <t>Q2 FY26A</t>
        </is>
      </c>
      <c r="H2" s="6" t="inlineStr">
        <is>
          <t>Q3 FY26A</t>
        </is>
      </c>
      <c r="I2" s="6" t="inlineStr">
        <is>
          <t>Q4 FY26E</t>
        </is>
      </c>
      <c r="J2" s="6" t="inlineStr">
        <is>
          <t>Q1 FY27E</t>
        </is>
      </c>
      <c r="K2" s="6" t="inlineStr">
        <is>
          <t>Q2 FY27E</t>
        </is>
      </c>
      <c r="L2" s="6" t="inlineStr">
        <is>
          <t>Q3 FY27E</t>
        </is>
      </c>
      <c r="M2" s="6" t="inlineStr">
        <is>
          <t>Q4 FY27E</t>
        </is>
      </c>
      <c r="N2" s="6" t="inlineStr">
        <is>
          <t>Q1 FY28E</t>
        </is>
      </c>
      <c r="O2" s="6" t="inlineStr">
        <is>
          <t>Q2 FY28E</t>
        </is>
      </c>
      <c r="P2" s="6" t="inlineStr">
        <is>
          <t>Q3 FY28E</t>
        </is>
      </c>
      <c r="Q2" s="6" t="inlineStr">
        <is>
          <t>Q4 FY28E</t>
        </is>
      </c>
    </row>
    <row r="3">
      <c r="A3" s="2" t="inlineStr">
        <is>
          <t>Cash &amp; Equivalents</t>
        </is>
      </c>
      <c r="B3" s="8" t="n">
        <v>18</v>
      </c>
      <c r="C3" s="8" t="n">
        <v>19</v>
      </c>
      <c r="D3" s="8" t="n">
        <v>21</v>
      </c>
      <c r="E3" s="8" t="n">
        <v>23</v>
      </c>
      <c r="F3" s="8" t="n">
        <v>24</v>
      </c>
      <c r="G3" s="8" t="n">
        <v>25</v>
      </c>
      <c r="H3" s="8" t="n">
        <v>26</v>
      </c>
      <c r="I3" s="8" t="n">
        <v>27</v>
      </c>
      <c r="J3" s="8" t="n">
        <v>28</v>
      </c>
      <c r="K3" s="8" t="n">
        <v>30</v>
      </c>
      <c r="L3" s="8" t="n">
        <v>31</v>
      </c>
      <c r="M3" s="8" t="n">
        <v>33</v>
      </c>
      <c r="N3" s="8" t="n">
        <v>35</v>
      </c>
      <c r="O3" s="8" t="n">
        <v>37</v>
      </c>
      <c r="P3" s="8" t="n">
        <v>39</v>
      </c>
      <c r="Q3" s="8" t="n">
        <v>42</v>
      </c>
    </row>
    <row r="4">
      <c r="A4" s="2" t="inlineStr">
        <is>
          <t>Accounts Receivable</t>
        </is>
      </c>
      <c r="B4" s="8" t="n">
        <v>5</v>
      </c>
      <c r="C4" s="8" t="n">
        <v>5.2</v>
      </c>
      <c r="D4" s="8" t="n">
        <v>5.4</v>
      </c>
      <c r="E4" s="8" t="n">
        <v>5.6</v>
      </c>
      <c r="F4" s="8" t="n">
        <v>5.8</v>
      </c>
      <c r="G4" s="8" t="n">
        <v>6</v>
      </c>
      <c r="H4" s="8" t="n">
        <v>6.2</v>
      </c>
      <c r="I4" s="8" t="n">
        <v>6.5</v>
      </c>
      <c r="J4" s="8" t="n">
        <v>6.8</v>
      </c>
      <c r="K4" s="8" t="n">
        <v>7</v>
      </c>
      <c r="L4" s="8" t="n">
        <v>7.2</v>
      </c>
      <c r="M4" s="8" t="n">
        <v>7.5</v>
      </c>
      <c r="N4" s="8" t="n">
        <v>7.8</v>
      </c>
      <c r="O4" s="8" t="n">
        <v>8</v>
      </c>
      <c r="P4" s="8" t="n">
        <v>8.199999999999999</v>
      </c>
      <c r="Q4" s="8" t="n">
        <v>8.5</v>
      </c>
    </row>
    <row r="5">
      <c r="A5" s="2" t="inlineStr">
        <is>
          <t>Inventory</t>
        </is>
      </c>
      <c r="B5" s="8" t="n">
        <v>30</v>
      </c>
      <c r="C5" s="8" t="n">
        <v>31</v>
      </c>
      <c r="D5" s="8" t="n">
        <v>32</v>
      </c>
      <c r="E5" s="8" t="n">
        <v>34</v>
      </c>
      <c r="F5" s="8" t="n">
        <v>35</v>
      </c>
      <c r="G5" s="8" t="n">
        <v>36</v>
      </c>
      <c r="H5" s="8" t="n">
        <v>37</v>
      </c>
      <c r="I5" s="8" t="n">
        <v>38</v>
      </c>
      <c r="J5" s="8" t="n">
        <v>39</v>
      </c>
      <c r="K5" s="8" t="n">
        <v>40</v>
      </c>
      <c r="L5" s="8" t="n">
        <v>41</v>
      </c>
      <c r="M5" s="8" t="n">
        <v>42</v>
      </c>
      <c r="N5" s="8" t="n">
        <v>43</v>
      </c>
      <c r="O5" s="8" t="n">
        <v>44</v>
      </c>
      <c r="P5" s="8" t="n">
        <v>45</v>
      </c>
      <c r="Q5" s="8" t="n">
        <v>46</v>
      </c>
    </row>
    <row r="6">
      <c r="A6" s="2" t="inlineStr">
        <is>
          <t>PP&amp;E</t>
        </is>
      </c>
      <c r="B6" s="8" t="n">
        <v>90</v>
      </c>
      <c r="C6" s="8" t="n">
        <v>92</v>
      </c>
      <c r="D6" s="8" t="n">
        <v>95</v>
      </c>
      <c r="E6" s="8" t="n">
        <v>98</v>
      </c>
      <c r="F6" s="8" t="n">
        <v>101</v>
      </c>
      <c r="G6" s="8" t="n">
        <v>104</v>
      </c>
      <c r="H6" s="8" t="n">
        <v>107</v>
      </c>
      <c r="I6" s="8" t="n">
        <v>110</v>
      </c>
      <c r="J6" s="8" t="n">
        <v>114</v>
      </c>
      <c r="K6" s="8" t="n">
        <v>118</v>
      </c>
      <c r="L6" s="8" t="n">
        <v>122</v>
      </c>
      <c r="M6" s="8" t="n">
        <v>126</v>
      </c>
      <c r="N6" s="8" t="n">
        <v>131</v>
      </c>
      <c r="O6" s="8" t="n">
        <v>136</v>
      </c>
      <c r="P6" s="8" t="n">
        <v>141</v>
      </c>
      <c r="Q6" s="8" t="n">
        <v>146</v>
      </c>
    </row>
    <row r="7">
      <c r="A7" s="2" t="inlineStr">
        <is>
          <t>Other Assets</t>
        </is>
      </c>
      <c r="B7" s="8" t="n">
        <v>12</v>
      </c>
      <c r="C7" s="8" t="n">
        <v>12.5</v>
      </c>
      <c r="D7" s="8" t="n">
        <v>13</v>
      </c>
      <c r="E7" s="8" t="n">
        <v>13.5</v>
      </c>
      <c r="F7" s="8" t="n">
        <v>14</v>
      </c>
      <c r="G7" s="8" t="n">
        <v>14.5</v>
      </c>
      <c r="H7" s="8" t="n">
        <v>15</v>
      </c>
      <c r="I7" s="8" t="n">
        <v>15.5</v>
      </c>
      <c r="J7" s="8" t="n">
        <v>16</v>
      </c>
      <c r="K7" s="8" t="n">
        <v>16.5</v>
      </c>
      <c r="L7" s="8" t="n">
        <v>17</v>
      </c>
      <c r="M7" s="8" t="n">
        <v>17.5</v>
      </c>
      <c r="N7" s="8" t="n">
        <v>18</v>
      </c>
      <c r="O7" s="8" t="n">
        <v>18.5</v>
      </c>
      <c r="P7" s="8" t="n">
        <v>19</v>
      </c>
      <c r="Q7" s="8" t="n">
        <v>19.5</v>
      </c>
    </row>
    <row r="8">
      <c r="A8" s="2" t="inlineStr">
        <is>
          <t>Total Assets</t>
        </is>
      </c>
      <c r="B8" s="2">
        <f>SUM(B3:B7)</f>
        <v/>
      </c>
      <c r="C8" s="2">
        <f>SUM(C3:C7)</f>
        <v/>
      </c>
      <c r="D8" s="2">
        <f>SUM(D3:D7)</f>
        <v/>
      </c>
      <c r="E8" s="2">
        <f>SUM(E3:E7)</f>
        <v/>
      </c>
      <c r="F8" s="2">
        <f>SUM(F3:F7)</f>
        <v/>
      </c>
      <c r="G8" s="2">
        <f>SUM(G3:G7)</f>
        <v/>
      </c>
      <c r="H8" s="2">
        <f>SUM(H3:H7)</f>
        <v/>
      </c>
      <c r="I8" s="2">
        <f>SUM(I3:I7)</f>
        <v/>
      </c>
      <c r="J8" s="2">
        <f>SUM(J3:J7)</f>
        <v/>
      </c>
      <c r="K8" s="2">
        <f>SUM(K3:K7)</f>
        <v/>
      </c>
      <c r="L8" s="2">
        <f>SUM(L3:L7)</f>
        <v/>
      </c>
      <c r="M8" s="2">
        <f>SUM(M3:M7)</f>
        <v/>
      </c>
      <c r="N8" s="2">
        <f>SUM(N3:N7)</f>
        <v/>
      </c>
      <c r="O8" s="2">
        <f>SUM(O3:O7)</f>
        <v/>
      </c>
      <c r="P8" s="2">
        <f>SUM(P3:P7)</f>
        <v/>
      </c>
      <c r="Q8" s="2">
        <f>SUM(Q3:Q7)</f>
        <v/>
      </c>
    </row>
    <row r="9">
      <c r="A9" s="2" t="inlineStr">
        <is>
          <t>Accounts Payable</t>
        </is>
      </c>
      <c r="B9" s="8" t="n">
        <v>20</v>
      </c>
      <c r="C9" s="8" t="n">
        <v>21</v>
      </c>
      <c r="D9" s="8" t="n">
        <v>22</v>
      </c>
      <c r="E9" s="8" t="n">
        <v>23</v>
      </c>
      <c r="F9" s="8" t="n">
        <v>24</v>
      </c>
      <c r="G9" s="8" t="n">
        <v>25</v>
      </c>
      <c r="H9" s="8" t="n">
        <v>26</v>
      </c>
      <c r="I9" s="8" t="n">
        <v>27</v>
      </c>
      <c r="J9" s="8" t="n">
        <v>28</v>
      </c>
      <c r="K9" s="8" t="n">
        <v>29</v>
      </c>
      <c r="L9" s="8" t="n">
        <v>30</v>
      </c>
      <c r="M9" s="8" t="n">
        <v>31</v>
      </c>
      <c r="N9" s="8" t="n">
        <v>32</v>
      </c>
      <c r="O9" s="8" t="n">
        <v>33</v>
      </c>
      <c r="P9" s="8" t="n">
        <v>34</v>
      </c>
      <c r="Q9" s="8" t="n">
        <v>35</v>
      </c>
    </row>
    <row r="10">
      <c r="A10" s="2" t="inlineStr">
        <is>
          <t>Other Current Liabilities</t>
        </is>
      </c>
      <c r="B10" s="8" t="n">
        <v>12</v>
      </c>
      <c r="C10" s="8" t="n">
        <v>12.5</v>
      </c>
      <c r="D10" s="8" t="n">
        <v>13</v>
      </c>
      <c r="E10" s="8" t="n">
        <v>13.5</v>
      </c>
      <c r="F10" s="8" t="n">
        <v>14</v>
      </c>
      <c r="G10" s="8" t="n">
        <v>14.5</v>
      </c>
      <c r="H10" s="8" t="n">
        <v>15</v>
      </c>
      <c r="I10" s="8" t="n">
        <v>15.5</v>
      </c>
      <c r="J10" s="8" t="n">
        <v>16</v>
      </c>
      <c r="K10" s="8" t="n">
        <v>16.5</v>
      </c>
      <c r="L10" s="8" t="n">
        <v>17</v>
      </c>
      <c r="M10" s="8" t="n">
        <v>17.5</v>
      </c>
      <c r="N10" s="8" t="n">
        <v>18</v>
      </c>
      <c r="O10" s="8" t="n">
        <v>18.5</v>
      </c>
      <c r="P10" s="8" t="n">
        <v>19</v>
      </c>
      <c r="Q10" s="8" t="n">
        <v>19.5</v>
      </c>
    </row>
    <row r="11">
      <c r="A11" s="2" t="inlineStr">
        <is>
          <t>Debt</t>
        </is>
      </c>
      <c r="B11" s="8" t="n">
        <v>35</v>
      </c>
      <c r="C11" s="8" t="n">
        <v>36</v>
      </c>
      <c r="D11" s="8" t="n">
        <v>37</v>
      </c>
      <c r="E11" s="8" t="n">
        <v>38</v>
      </c>
      <c r="F11" s="8" t="n">
        <v>39</v>
      </c>
      <c r="G11" s="8" t="n">
        <v>40</v>
      </c>
      <c r="H11" s="8" t="n">
        <v>41</v>
      </c>
      <c r="I11" s="8" t="n">
        <v>42</v>
      </c>
      <c r="J11" s="8" t="n">
        <v>43</v>
      </c>
      <c r="K11" s="8" t="n">
        <v>44</v>
      </c>
      <c r="L11" s="8" t="n">
        <v>45</v>
      </c>
      <c r="M11" s="8" t="n">
        <v>46</v>
      </c>
      <c r="N11" s="8" t="n">
        <v>47</v>
      </c>
      <c r="O11" s="8" t="n">
        <v>48</v>
      </c>
      <c r="P11" s="8" t="n">
        <v>49</v>
      </c>
      <c r="Q11" s="8" t="n">
        <v>50</v>
      </c>
    </row>
    <row r="12">
      <c r="A12" s="2" t="inlineStr">
        <is>
          <t>Equity</t>
        </is>
      </c>
      <c r="B12" s="8" t="n">
        <v>88</v>
      </c>
      <c r="C12" s="8" t="n">
        <v>90.2</v>
      </c>
      <c r="D12" s="8" t="n">
        <v>91.40000000000001</v>
      </c>
      <c r="E12" s="8" t="n">
        <v>94.59999999999999</v>
      </c>
      <c r="F12" s="8" t="n">
        <v>95.8</v>
      </c>
      <c r="G12" s="8" t="n">
        <v>97</v>
      </c>
      <c r="H12" s="8" t="n">
        <v>98.2</v>
      </c>
      <c r="I12" s="8" t="n">
        <v>99.5</v>
      </c>
      <c r="J12" s="8" t="n">
        <v>101</v>
      </c>
      <c r="K12" s="8" t="n">
        <v>103</v>
      </c>
      <c r="L12" s="8" t="n">
        <v>105</v>
      </c>
      <c r="M12" s="8" t="n">
        <v>107</v>
      </c>
      <c r="N12" s="8" t="n">
        <v>110</v>
      </c>
      <c r="O12" s="8" t="n">
        <v>113</v>
      </c>
      <c r="P12" s="8" t="n">
        <v>116</v>
      </c>
      <c r="Q12" s="8" t="n">
        <v>119</v>
      </c>
    </row>
    <row r="13">
      <c r="A13" s="2" t="inlineStr">
        <is>
          <t>Other Liabilities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</row>
    <row r="14">
      <c r="A14" s="2" t="inlineStr">
        <is>
          <t>Total Liabilities &amp; Equity</t>
        </is>
      </c>
      <c r="B14" s="2">
        <f>SUM(B9:B13)</f>
        <v/>
      </c>
      <c r="C14" s="2">
        <f>SUM(C9:C13)</f>
        <v/>
      </c>
      <c r="D14" s="2">
        <f>SUM(D9:D13)</f>
        <v/>
      </c>
      <c r="E14" s="2">
        <f>SUM(E9:E13)</f>
        <v/>
      </c>
      <c r="F14" s="2">
        <f>SUM(F9:F13)</f>
        <v/>
      </c>
      <c r="G14" s="2">
        <f>SUM(G9:G13)</f>
        <v/>
      </c>
      <c r="H14" s="2">
        <f>SUM(H9:H13)</f>
        <v/>
      </c>
      <c r="I14" s="2">
        <f>SUM(I9:I13)</f>
        <v/>
      </c>
      <c r="J14" s="2">
        <f>SUM(J9:J13)</f>
        <v/>
      </c>
      <c r="K14" s="2">
        <f>SUM(K9:K13)</f>
        <v/>
      </c>
      <c r="L14" s="2">
        <f>SUM(L9:L13)</f>
        <v/>
      </c>
      <c r="M14" s="2">
        <f>SUM(M9:M13)</f>
        <v/>
      </c>
      <c r="N14" s="2">
        <f>SUM(N9:N13)</f>
        <v/>
      </c>
      <c r="O14" s="2">
        <f>SUM(O9:O13)</f>
        <v/>
      </c>
      <c r="P14" s="2">
        <f>SUM(P9:P13)</f>
        <v/>
      </c>
      <c r="Q14" s="2">
        <f>SUM(Q9:Q13)</f>
        <v/>
      </c>
    </row>
    <row r="15">
      <c r="A15" s="2" t="inlineStr">
        <is>
          <t>Balance Check</t>
        </is>
      </c>
      <c r="B15" s="10">
        <f>B8-B14</f>
        <v/>
      </c>
      <c r="C15" s="10">
        <f>C8-C14</f>
        <v/>
      </c>
      <c r="D15" s="10">
        <f>D8-D14</f>
        <v/>
      </c>
      <c r="E15" s="10">
        <f>E8-E14</f>
        <v/>
      </c>
      <c r="F15" s="10">
        <f>F8-F14</f>
        <v/>
      </c>
      <c r="G15" s="10">
        <f>G8-G14</f>
        <v/>
      </c>
      <c r="H15" s="10">
        <f>H8-H14</f>
        <v/>
      </c>
      <c r="I15" s="10">
        <f>I8-I14</f>
        <v/>
      </c>
      <c r="J15" s="10">
        <f>J8-J14</f>
        <v/>
      </c>
      <c r="K15" s="10">
        <f>K8-K14</f>
        <v/>
      </c>
      <c r="L15" s="10">
        <f>L8-L14</f>
        <v/>
      </c>
      <c r="M15" s="10">
        <f>M8-M14</f>
        <v/>
      </c>
      <c r="N15" s="10">
        <f>N8-N14</f>
        <v/>
      </c>
      <c r="O15" s="10">
        <f>O8-O14</f>
        <v/>
      </c>
      <c r="P15" s="10">
        <f>P8-P14</f>
        <v/>
      </c>
      <c r="Q15" s="10">
        <f>Q8-Q14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5" t="inlineStr">
        <is>
          <t>Quarterly Cash Flow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6" t="inlineStr">
        <is>
          <t>₹ bn</t>
        </is>
      </c>
      <c r="B2" s="6" t="inlineStr">
        <is>
          <t>Q1 FY25A</t>
        </is>
      </c>
      <c r="C2" s="6" t="inlineStr">
        <is>
          <t>Q2 FY25A</t>
        </is>
      </c>
      <c r="D2" s="6" t="inlineStr">
        <is>
          <t>Q3 FY25A</t>
        </is>
      </c>
      <c r="E2" s="6" t="inlineStr">
        <is>
          <t>Q4 FY25A</t>
        </is>
      </c>
      <c r="F2" s="6" t="inlineStr">
        <is>
          <t>Q1 FY26A</t>
        </is>
      </c>
      <c r="G2" s="6" t="inlineStr">
        <is>
          <t>Q2 FY26A</t>
        </is>
      </c>
      <c r="H2" s="6" t="inlineStr">
        <is>
          <t>Q3 FY26A</t>
        </is>
      </c>
      <c r="I2" s="6" t="inlineStr">
        <is>
          <t>Q4 FY26E</t>
        </is>
      </c>
      <c r="J2" s="6" t="inlineStr">
        <is>
          <t>Q1 FY27E</t>
        </is>
      </c>
      <c r="K2" s="6" t="inlineStr">
        <is>
          <t>Q2 FY27E</t>
        </is>
      </c>
      <c r="L2" s="6" t="inlineStr">
        <is>
          <t>Q3 FY27E</t>
        </is>
      </c>
      <c r="M2" s="6" t="inlineStr">
        <is>
          <t>Q4 FY27E</t>
        </is>
      </c>
      <c r="N2" s="6" t="inlineStr">
        <is>
          <t>Q1 FY28E</t>
        </is>
      </c>
      <c r="O2" s="6" t="inlineStr">
        <is>
          <t>Q2 FY28E</t>
        </is>
      </c>
      <c r="P2" s="6" t="inlineStr">
        <is>
          <t>Q3 FY28E</t>
        </is>
      </c>
      <c r="Q2" s="6" t="inlineStr">
        <is>
          <t>Q4 FY28E</t>
        </is>
      </c>
    </row>
    <row r="3">
      <c r="A3" s="2" t="inlineStr">
        <is>
          <t>Net Income</t>
        </is>
      </c>
      <c r="B3" s="2">
        <f>'P&amp;L'!B15</f>
        <v/>
      </c>
      <c r="C3" s="2">
        <f>'P&amp;L'!C15</f>
        <v/>
      </c>
      <c r="D3" s="2">
        <f>'P&amp;L'!D15</f>
        <v/>
      </c>
      <c r="E3" s="2">
        <f>'P&amp;L'!E15</f>
        <v/>
      </c>
      <c r="F3" s="2">
        <f>'P&amp;L'!F15</f>
        <v/>
      </c>
      <c r="G3" s="2">
        <f>'P&amp;L'!G15</f>
        <v/>
      </c>
      <c r="H3" s="2">
        <f>'P&amp;L'!H15</f>
        <v/>
      </c>
      <c r="I3" s="2">
        <f>'P&amp;L'!I15</f>
        <v/>
      </c>
      <c r="J3" s="2">
        <f>'P&amp;L'!J15</f>
        <v/>
      </c>
      <c r="K3" s="2">
        <f>'P&amp;L'!K15</f>
        <v/>
      </c>
      <c r="L3" s="2">
        <f>'P&amp;L'!L15</f>
        <v/>
      </c>
      <c r="M3" s="2">
        <f>'P&amp;L'!M15</f>
        <v/>
      </c>
      <c r="N3" s="2">
        <f>'P&amp;L'!N15</f>
        <v/>
      </c>
      <c r="O3" s="2">
        <f>'P&amp;L'!O15</f>
        <v/>
      </c>
      <c r="P3" s="2">
        <f>'P&amp;L'!P15</f>
        <v/>
      </c>
      <c r="Q3" s="2">
        <f>'P&amp;L'!Q15</f>
        <v/>
      </c>
    </row>
    <row r="4">
      <c r="A4" s="2" t="inlineStr">
        <is>
          <t>D&amp;A</t>
        </is>
      </c>
      <c r="B4" s="2">
        <f>'P&amp;L'!B10</f>
        <v/>
      </c>
      <c r="C4" s="2">
        <f>'P&amp;L'!C10</f>
        <v/>
      </c>
      <c r="D4" s="2">
        <f>'P&amp;L'!D10</f>
        <v/>
      </c>
      <c r="E4" s="2">
        <f>'P&amp;L'!E10</f>
        <v/>
      </c>
      <c r="F4" s="2">
        <f>'P&amp;L'!F10</f>
        <v/>
      </c>
      <c r="G4" s="2">
        <f>'P&amp;L'!G10</f>
        <v/>
      </c>
      <c r="H4" s="2">
        <f>'P&amp;L'!H10</f>
        <v/>
      </c>
      <c r="I4" s="2">
        <f>'P&amp;L'!I10</f>
        <v/>
      </c>
      <c r="J4" s="2">
        <f>'P&amp;L'!J10</f>
        <v/>
      </c>
      <c r="K4" s="2">
        <f>'P&amp;L'!K10</f>
        <v/>
      </c>
      <c r="L4" s="2">
        <f>'P&amp;L'!L10</f>
        <v/>
      </c>
      <c r="M4" s="2">
        <f>'P&amp;L'!M10</f>
        <v/>
      </c>
      <c r="N4" s="2">
        <f>'P&amp;L'!N10</f>
        <v/>
      </c>
      <c r="O4" s="2">
        <f>'P&amp;L'!O10</f>
        <v/>
      </c>
      <c r="P4" s="2">
        <f>'P&amp;L'!P10</f>
        <v/>
      </c>
      <c r="Q4" s="2">
        <f>'P&amp;L'!Q10</f>
        <v/>
      </c>
    </row>
    <row r="5">
      <c r="A5" s="2" t="inlineStr">
        <is>
          <t>Change in Working Capital</t>
        </is>
      </c>
      <c r="B5" s="8" t="n">
        <v>-1</v>
      </c>
      <c r="C5" s="8" t="n">
        <v>-1.2</v>
      </c>
      <c r="D5" s="8" t="n">
        <v>-1.4</v>
      </c>
      <c r="E5" s="8" t="n">
        <v>-1.5</v>
      </c>
      <c r="F5" s="8" t="n">
        <v>-1.4</v>
      </c>
      <c r="G5" s="8" t="n">
        <v>-1.5</v>
      </c>
      <c r="H5" s="8" t="n">
        <v>-1.6</v>
      </c>
      <c r="I5" s="8" t="n">
        <v>-1.8</v>
      </c>
      <c r="J5" s="8" t="n">
        <v>-1.9</v>
      </c>
      <c r="K5" s="8" t="n">
        <v>-2</v>
      </c>
      <c r="L5" s="8" t="n">
        <v>-2.1</v>
      </c>
      <c r="M5" s="8" t="n">
        <v>-2.2</v>
      </c>
      <c r="N5" s="8" t="n">
        <v>-2.3</v>
      </c>
      <c r="O5" s="8" t="n">
        <v>-2.4</v>
      </c>
      <c r="P5" s="8" t="n">
        <v>-2.5</v>
      </c>
      <c r="Q5" s="8" t="n">
        <v>-2.6</v>
      </c>
    </row>
    <row r="6">
      <c r="A6" s="2" t="inlineStr">
        <is>
          <t>Other Non-Cash Items</t>
        </is>
      </c>
      <c r="B6" s="2">
        <f>SUM(B3:B6)</f>
        <v/>
      </c>
      <c r="C6" s="2">
        <f>SUM(C3:C6)</f>
        <v/>
      </c>
      <c r="D6" s="2">
        <f>SUM(D3:D6)</f>
        <v/>
      </c>
      <c r="E6" s="2">
        <f>SUM(E3:E6)</f>
        <v/>
      </c>
      <c r="F6" s="2">
        <f>SUM(F3:F6)</f>
        <v/>
      </c>
      <c r="G6" s="2">
        <f>SUM(G3:G6)</f>
        <v/>
      </c>
      <c r="H6" s="2">
        <f>SUM(H3:H6)</f>
        <v/>
      </c>
      <c r="I6" s="2">
        <f>SUM(I3:I6)</f>
        <v/>
      </c>
      <c r="J6" s="2">
        <f>SUM(J3:J6)</f>
        <v/>
      </c>
      <c r="K6" s="2">
        <f>SUM(K3:K6)</f>
        <v/>
      </c>
      <c r="L6" s="2">
        <f>SUM(L3:L6)</f>
        <v/>
      </c>
      <c r="M6" s="2">
        <f>SUM(M3:M6)</f>
        <v/>
      </c>
      <c r="N6" s="2">
        <f>SUM(N3:N6)</f>
        <v/>
      </c>
      <c r="O6" s="2">
        <f>SUM(O3:O6)</f>
        <v/>
      </c>
      <c r="P6" s="2">
        <f>SUM(P3:P6)</f>
        <v/>
      </c>
      <c r="Q6" s="2">
        <f>SUM(Q3:Q6)</f>
        <v/>
      </c>
    </row>
    <row r="7">
      <c r="A7" s="2" t="inlineStr">
        <is>
          <t>Cash Flow from Operations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Capex</t>
        </is>
      </c>
      <c r="B8" s="8" t="n">
        <v>4.5</v>
      </c>
      <c r="C8" s="8" t="n">
        <v>4.8</v>
      </c>
      <c r="D8" s="8" t="n">
        <v>5</v>
      </c>
      <c r="E8" s="8" t="n">
        <v>5.2</v>
      </c>
      <c r="F8" s="8" t="n">
        <v>6</v>
      </c>
      <c r="G8" s="8" t="n">
        <v>6.5</v>
      </c>
      <c r="H8" s="8" t="n">
        <v>7</v>
      </c>
      <c r="I8" s="8" t="n">
        <v>8</v>
      </c>
      <c r="J8" s="8" t="n">
        <v>8.5</v>
      </c>
      <c r="K8" s="8" t="n">
        <v>9</v>
      </c>
      <c r="L8" s="8" t="n">
        <v>9.5</v>
      </c>
      <c r="M8" s="8" t="n">
        <v>10</v>
      </c>
      <c r="N8" s="8" t="n">
        <v>10.5</v>
      </c>
      <c r="O8" s="8" t="n">
        <v>11</v>
      </c>
      <c r="P8" s="8" t="n">
        <v>11.5</v>
      </c>
      <c r="Q8" s="8" t="n">
        <v>12</v>
      </c>
    </row>
    <row r="9">
      <c r="A9" s="2" t="inlineStr">
        <is>
          <t>Acquisitions / Investments</t>
        </is>
      </c>
      <c r="B9" s="2">
        <f>-SUM(B7:B8)</f>
        <v/>
      </c>
      <c r="C9" s="2">
        <f>-SUM(C7:C8)</f>
        <v/>
      </c>
      <c r="D9" s="2">
        <f>-SUM(D7:D8)</f>
        <v/>
      </c>
      <c r="E9" s="2">
        <f>-SUM(E7:E8)</f>
        <v/>
      </c>
      <c r="F9" s="2">
        <f>-SUM(F7:F8)</f>
        <v/>
      </c>
      <c r="G9" s="2">
        <f>-SUM(G7:G8)</f>
        <v/>
      </c>
      <c r="H9" s="2">
        <f>-SUM(H7:H8)</f>
        <v/>
      </c>
      <c r="I9" s="2">
        <f>-SUM(I7:I8)</f>
        <v/>
      </c>
      <c r="J9" s="2">
        <f>-SUM(J7:J8)</f>
        <v/>
      </c>
      <c r="K9" s="2">
        <f>-SUM(K7:K8)</f>
        <v/>
      </c>
      <c r="L9" s="2">
        <f>-SUM(L7:L8)</f>
        <v/>
      </c>
      <c r="M9" s="2">
        <f>-SUM(M7:M8)</f>
        <v/>
      </c>
      <c r="N9" s="2">
        <f>-SUM(N7:N8)</f>
        <v/>
      </c>
      <c r="O9" s="2">
        <f>-SUM(O7:O8)</f>
        <v/>
      </c>
      <c r="P9" s="2">
        <f>-SUM(P7:P8)</f>
        <v/>
      </c>
      <c r="Q9" s="2">
        <f>-SUM(Q7:Q8)</f>
        <v/>
      </c>
    </row>
    <row r="10">
      <c r="A10" s="2" t="inlineStr">
        <is>
          <t>Cash Flow from Investing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Debt Issuance / (Repayment)</t>
        </is>
      </c>
      <c r="B11" s="8" t="n">
        <v>1</v>
      </c>
      <c r="C11" s="8" t="n">
        <v>1</v>
      </c>
      <c r="D11" s="8" t="n">
        <v>1</v>
      </c>
      <c r="E11" s="8" t="n">
        <v>1</v>
      </c>
      <c r="F11" s="8" t="n">
        <v>1</v>
      </c>
      <c r="G11" s="8" t="n">
        <v>1</v>
      </c>
      <c r="H11" s="8" t="n">
        <v>1</v>
      </c>
      <c r="I11" s="8" t="n">
        <v>1</v>
      </c>
      <c r="J11" s="8" t="n">
        <v>1</v>
      </c>
      <c r="K11" s="8" t="n">
        <v>1</v>
      </c>
      <c r="L11" s="8" t="n">
        <v>1</v>
      </c>
      <c r="M11" s="8" t="n">
        <v>1</v>
      </c>
      <c r="N11" s="8" t="n">
        <v>1</v>
      </c>
      <c r="O11" s="8" t="n">
        <v>1</v>
      </c>
      <c r="P11" s="8" t="n">
        <v>1</v>
      </c>
      <c r="Q11" s="8" t="n">
        <v>1</v>
      </c>
    </row>
    <row r="12">
      <c r="A12" s="2" t="inlineStr">
        <is>
          <t>Dividends</t>
        </is>
      </c>
      <c r="B12" s="2">
        <f>SUM(B10:B11)</f>
        <v/>
      </c>
      <c r="C12" s="2">
        <f>SUM(C10:C11)</f>
        <v/>
      </c>
      <c r="D12" s="2">
        <f>SUM(D10:D11)</f>
        <v/>
      </c>
      <c r="E12" s="2">
        <f>SUM(E10:E11)</f>
        <v/>
      </c>
      <c r="F12" s="2">
        <f>SUM(F10:F11)</f>
        <v/>
      </c>
      <c r="G12" s="2">
        <f>SUM(G10:G11)</f>
        <v/>
      </c>
      <c r="H12" s="2">
        <f>SUM(H10:H11)</f>
        <v/>
      </c>
      <c r="I12" s="2">
        <f>SUM(I10:I11)</f>
        <v/>
      </c>
      <c r="J12" s="2">
        <f>SUM(J10:J11)</f>
        <v/>
      </c>
      <c r="K12" s="2">
        <f>SUM(K10:K11)</f>
        <v/>
      </c>
      <c r="L12" s="2">
        <f>SUM(L10:L11)</f>
        <v/>
      </c>
      <c r="M12" s="2">
        <f>SUM(M10:M11)</f>
        <v/>
      </c>
      <c r="N12" s="2">
        <f>SUM(N10:N11)</f>
        <v/>
      </c>
      <c r="O12" s="2">
        <f>SUM(O10:O11)</f>
        <v/>
      </c>
      <c r="P12" s="2">
        <f>SUM(P10:P11)</f>
        <v/>
      </c>
      <c r="Q12" s="2">
        <f>SUM(Q10:Q11)</f>
        <v/>
      </c>
    </row>
    <row r="13">
      <c r="A13" s="2" t="inlineStr">
        <is>
          <t>Cash Flow from Financing</t>
        </is>
      </c>
      <c r="B13" s="2">
        <f>B6+B9+B12</f>
        <v/>
      </c>
      <c r="C13" s="2">
        <f>C6+C9+C12</f>
        <v/>
      </c>
      <c r="D13" s="2">
        <f>D6+D9+D12</f>
        <v/>
      </c>
      <c r="E13" s="2">
        <f>E6+E9+E12</f>
        <v/>
      </c>
      <c r="F13" s="2">
        <f>F6+F9+F12</f>
        <v/>
      </c>
      <c r="G13" s="2">
        <f>G6+G9+G12</f>
        <v/>
      </c>
      <c r="H13" s="2">
        <f>H6+H9+H12</f>
        <v/>
      </c>
      <c r="I13" s="2">
        <f>I6+I9+I12</f>
        <v/>
      </c>
      <c r="J13" s="2">
        <f>J6+J9+J12</f>
        <v/>
      </c>
      <c r="K13" s="2">
        <f>K6+K9+K12</f>
        <v/>
      </c>
      <c r="L13" s="2">
        <f>L6+L9+L12</f>
        <v/>
      </c>
      <c r="M13" s="2">
        <f>M6+M9+M12</f>
        <v/>
      </c>
      <c r="N13" s="2">
        <f>N6+N9+N12</f>
        <v/>
      </c>
      <c r="O13" s="2">
        <f>O6+O9+O12</f>
        <v/>
      </c>
      <c r="P13" s="2">
        <f>P6+P9+P12</f>
        <v/>
      </c>
      <c r="Q13" s="2">
        <f>Q6+Q9+Q12</f>
        <v/>
      </c>
    </row>
    <row r="14">
      <c r="A14" s="2" t="inlineStr">
        <is>
          <t>Net Change in Cash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Beginning Cash</t>
        </is>
      </c>
      <c r="B15" s="2">
        <f>B13+B14</f>
        <v/>
      </c>
      <c r="C15" s="2">
        <f>C13+C14</f>
        <v/>
      </c>
      <c r="D15" s="2">
        <f>D13+D14</f>
        <v/>
      </c>
      <c r="E15" s="2">
        <f>E13+E14</f>
        <v/>
      </c>
      <c r="F15" s="2">
        <f>F13+F14</f>
        <v/>
      </c>
      <c r="G15" s="2">
        <f>G13+G14</f>
        <v/>
      </c>
      <c r="H15" s="2">
        <f>H13+H14</f>
        <v/>
      </c>
      <c r="I15" s="2">
        <f>I13+I14</f>
        <v/>
      </c>
      <c r="J15" s="2">
        <f>J13+J14</f>
        <v/>
      </c>
      <c r="K15" s="2">
        <f>K13+K14</f>
        <v/>
      </c>
      <c r="L15" s="2">
        <f>L13+L14</f>
        <v/>
      </c>
      <c r="M15" s="2">
        <f>M13+M14</f>
        <v/>
      </c>
      <c r="N15" s="2">
        <f>N13+N14</f>
        <v/>
      </c>
      <c r="O15" s="2">
        <f>O13+O14</f>
        <v/>
      </c>
      <c r="P15" s="2">
        <f>P13+P14</f>
        <v/>
      </c>
      <c r="Q15" s="2">
        <f>Q13+Q14</f>
        <v/>
      </c>
    </row>
    <row r="16">
      <c r="A16" s="2" t="inlineStr">
        <is>
          <t>Ending Cash</t>
        </is>
      </c>
      <c r="B16" s="2">
        <f>B4/B7</f>
        <v/>
      </c>
      <c r="C16" s="2">
        <f>C4/C7</f>
        <v/>
      </c>
      <c r="D16" s="2">
        <f>D4/D7</f>
        <v/>
      </c>
      <c r="E16" s="2">
        <f>E4/E7</f>
        <v/>
      </c>
      <c r="F16" s="2">
        <f>F4/F7</f>
        <v/>
      </c>
      <c r="G16" s="2">
        <f>G4/G7</f>
        <v/>
      </c>
      <c r="H16" s="2">
        <f>H4/H7</f>
        <v/>
      </c>
      <c r="I16" s="2">
        <f>I4/I7</f>
        <v/>
      </c>
      <c r="J16" s="2">
        <f>J4/J7</f>
        <v/>
      </c>
      <c r="K16" s="2">
        <f>K4/K7</f>
        <v/>
      </c>
      <c r="L16" s="2">
        <f>L4/L7</f>
        <v/>
      </c>
      <c r="M16" s="2">
        <f>M4/M7</f>
        <v/>
      </c>
      <c r="N16" s="2">
        <f>N4/N7</f>
        <v/>
      </c>
      <c r="O16" s="2">
        <f>O4/O7</f>
        <v/>
      </c>
      <c r="P16" s="2">
        <f>P4/P7</f>
        <v/>
      </c>
      <c r="Q16" s="2">
        <f>Q4/Q7</f>
        <v/>
      </c>
    </row>
    <row r="17">
      <c r="A17" s="2" t="inlineStr">
        <is>
          <t>D&amp;A / Capex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5" t="inlineStr">
        <is>
          <t>Working Capital Drivers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6" t="inlineStr">
        <is>
          <t>Metric</t>
        </is>
      </c>
      <c r="B2" s="6" t="inlineStr">
        <is>
          <t>Q1 FY25A</t>
        </is>
      </c>
      <c r="C2" s="6" t="inlineStr">
        <is>
          <t>Q2 FY25A</t>
        </is>
      </c>
      <c r="D2" s="6" t="inlineStr">
        <is>
          <t>Q3 FY25A</t>
        </is>
      </c>
      <c r="E2" s="6" t="inlineStr">
        <is>
          <t>Q4 FY25A</t>
        </is>
      </c>
      <c r="F2" s="6" t="inlineStr">
        <is>
          <t>Q1 FY26A</t>
        </is>
      </c>
      <c r="G2" s="6" t="inlineStr">
        <is>
          <t>Q2 FY26A</t>
        </is>
      </c>
      <c r="H2" s="6" t="inlineStr">
        <is>
          <t>Q3 FY26A</t>
        </is>
      </c>
      <c r="I2" s="6" t="inlineStr">
        <is>
          <t>Q4 FY26E</t>
        </is>
      </c>
      <c r="J2" s="6" t="inlineStr">
        <is>
          <t>Q1 FY27E</t>
        </is>
      </c>
      <c r="K2" s="6" t="inlineStr">
        <is>
          <t>Q2 FY27E</t>
        </is>
      </c>
      <c r="L2" s="6" t="inlineStr">
        <is>
          <t>Q3 FY27E</t>
        </is>
      </c>
      <c r="M2" s="6" t="inlineStr">
        <is>
          <t>Q4 FY27E</t>
        </is>
      </c>
      <c r="N2" s="6" t="inlineStr">
        <is>
          <t>Q1 FY28E</t>
        </is>
      </c>
      <c r="O2" s="6" t="inlineStr">
        <is>
          <t>Q2 FY28E</t>
        </is>
      </c>
      <c r="P2" s="6" t="inlineStr">
        <is>
          <t>Q3 FY28E</t>
        </is>
      </c>
      <c r="Q2" s="6" t="inlineStr">
        <is>
          <t>Q4 FY28E</t>
        </is>
      </c>
    </row>
    <row r="3">
      <c r="A3" s="2" t="inlineStr">
        <is>
          <t>DSO</t>
        </is>
      </c>
      <c r="B3" s="8" t="n">
        <v>12</v>
      </c>
      <c r="C3" s="8" t="n">
        <v>12</v>
      </c>
      <c r="D3" s="8" t="n">
        <v>12</v>
      </c>
      <c r="E3" s="8" t="n">
        <v>12</v>
      </c>
      <c r="F3" s="8" t="n">
        <v>12</v>
      </c>
      <c r="G3" s="8" t="n">
        <v>12</v>
      </c>
      <c r="H3" s="8" t="n">
        <v>12</v>
      </c>
      <c r="I3" s="8" t="n">
        <v>12</v>
      </c>
      <c r="J3" s="8" t="n">
        <v>12</v>
      </c>
      <c r="K3" s="8" t="n">
        <v>12</v>
      </c>
      <c r="L3" s="8" t="n">
        <v>12</v>
      </c>
      <c r="M3" s="8" t="n">
        <v>12</v>
      </c>
      <c r="N3" s="8" t="n">
        <v>12</v>
      </c>
      <c r="O3" s="8" t="n">
        <v>12</v>
      </c>
      <c r="P3" s="8" t="n">
        <v>12</v>
      </c>
      <c r="Q3" s="8" t="n">
        <v>12</v>
      </c>
    </row>
    <row r="4">
      <c r="A4" s="2" t="inlineStr">
        <is>
          <t>Inventory Days</t>
        </is>
      </c>
      <c r="B4" s="8" t="n">
        <v>45</v>
      </c>
      <c r="C4" s="8" t="n">
        <v>45</v>
      </c>
      <c r="D4" s="8" t="n">
        <v>44</v>
      </c>
      <c r="E4" s="8" t="n">
        <v>44</v>
      </c>
      <c r="F4" s="8" t="n">
        <v>43</v>
      </c>
      <c r="G4" s="8" t="n">
        <v>43</v>
      </c>
      <c r="H4" s="8" t="n">
        <v>42</v>
      </c>
      <c r="I4" s="8" t="n">
        <v>42</v>
      </c>
      <c r="J4" s="8" t="n">
        <v>41</v>
      </c>
      <c r="K4" s="8" t="n">
        <v>41</v>
      </c>
      <c r="L4" s="8" t="n">
        <v>41</v>
      </c>
      <c r="M4" s="8" t="n">
        <v>40</v>
      </c>
      <c r="N4" s="8" t="n">
        <v>40</v>
      </c>
      <c r="O4" s="8" t="n">
        <v>40</v>
      </c>
      <c r="P4" s="8" t="n">
        <v>40</v>
      </c>
      <c r="Q4" s="8" t="n">
        <v>40</v>
      </c>
    </row>
    <row r="5">
      <c r="A5" s="2" t="inlineStr">
        <is>
          <t>DPO</t>
        </is>
      </c>
      <c r="B5" s="8" t="n">
        <v>34</v>
      </c>
      <c r="C5" s="8" t="n">
        <v>34</v>
      </c>
      <c r="D5" s="8" t="n">
        <v>34</v>
      </c>
      <c r="E5" s="8" t="n">
        <v>35</v>
      </c>
      <c r="F5" s="8" t="n">
        <v>35</v>
      </c>
      <c r="G5" s="8" t="n">
        <v>35</v>
      </c>
      <c r="H5" s="8" t="n">
        <v>36</v>
      </c>
      <c r="I5" s="8" t="n">
        <v>36</v>
      </c>
      <c r="J5" s="8" t="n">
        <v>36</v>
      </c>
      <c r="K5" s="8" t="n">
        <v>36</v>
      </c>
      <c r="L5" s="8" t="n">
        <v>37</v>
      </c>
      <c r="M5" s="8" t="n">
        <v>37</v>
      </c>
      <c r="N5" s="8" t="n">
        <v>37</v>
      </c>
      <c r="O5" s="8" t="n">
        <v>37</v>
      </c>
      <c r="P5" s="8" t="n">
        <v>37</v>
      </c>
      <c r="Q5" s="8" t="n">
        <v>37</v>
      </c>
    </row>
    <row r="6">
      <c r="A6" s="2" t="inlineStr">
        <is>
          <t>AR</t>
        </is>
      </c>
      <c r="B6" s="8" t="n">
        <v>5</v>
      </c>
      <c r="C6" s="8" t="n">
        <v>5.2</v>
      </c>
      <c r="D6" s="8" t="n">
        <v>5.4</v>
      </c>
      <c r="E6" s="8" t="n">
        <v>5.6</v>
      </c>
      <c r="F6" s="8" t="n">
        <v>5.8</v>
      </c>
      <c r="G6" s="8" t="n">
        <v>6</v>
      </c>
      <c r="H6" s="8" t="n">
        <v>6.2</v>
      </c>
      <c r="I6" s="8" t="n">
        <v>6.5</v>
      </c>
      <c r="J6" s="8" t="n">
        <v>6.8</v>
      </c>
      <c r="K6" s="8" t="n">
        <v>7</v>
      </c>
      <c r="L6" s="8" t="n">
        <v>7.2</v>
      </c>
      <c r="M6" s="8" t="n">
        <v>7.5</v>
      </c>
      <c r="N6" s="8" t="n">
        <v>7.8</v>
      </c>
      <c r="O6" s="8" t="n">
        <v>8</v>
      </c>
      <c r="P6" s="8" t="n">
        <v>8.199999999999999</v>
      </c>
      <c r="Q6" s="8" t="n">
        <v>8.5</v>
      </c>
    </row>
    <row r="7">
      <c r="A7" s="2" t="inlineStr">
        <is>
          <t>Inventory</t>
        </is>
      </c>
      <c r="B7" s="8" t="n">
        <v>30</v>
      </c>
      <c r="C7" s="8" t="n">
        <v>31</v>
      </c>
      <c r="D7" s="8" t="n">
        <v>32</v>
      </c>
      <c r="E7" s="8" t="n">
        <v>34</v>
      </c>
      <c r="F7" s="8" t="n">
        <v>35</v>
      </c>
      <c r="G7" s="8" t="n">
        <v>36</v>
      </c>
      <c r="H7" s="8" t="n">
        <v>37</v>
      </c>
      <c r="I7" s="8" t="n">
        <v>38</v>
      </c>
      <c r="J7" s="8" t="n">
        <v>39</v>
      </c>
      <c r="K7" s="8" t="n">
        <v>40</v>
      </c>
      <c r="L7" s="8" t="n">
        <v>41</v>
      </c>
      <c r="M7" s="8" t="n">
        <v>42</v>
      </c>
      <c r="N7" s="8" t="n">
        <v>43</v>
      </c>
      <c r="O7" s="8" t="n">
        <v>44</v>
      </c>
      <c r="P7" s="8" t="n">
        <v>45</v>
      </c>
      <c r="Q7" s="8" t="n">
        <v>46</v>
      </c>
    </row>
    <row r="8">
      <c r="A8" s="2" t="inlineStr">
        <is>
          <t>AP</t>
        </is>
      </c>
      <c r="B8" s="8" t="n">
        <v>20</v>
      </c>
      <c r="C8" s="8" t="n">
        <v>21</v>
      </c>
      <c r="D8" s="8" t="n">
        <v>22</v>
      </c>
      <c r="E8" s="8" t="n">
        <v>23</v>
      </c>
      <c r="F8" s="8" t="n">
        <v>24</v>
      </c>
      <c r="G8" s="8" t="n">
        <v>25</v>
      </c>
      <c r="H8" s="8" t="n">
        <v>26</v>
      </c>
      <c r="I8" s="8" t="n">
        <v>27</v>
      </c>
      <c r="J8" s="8" t="n">
        <v>28</v>
      </c>
      <c r="K8" s="8" t="n">
        <v>29</v>
      </c>
      <c r="L8" s="8" t="n">
        <v>30</v>
      </c>
      <c r="M8" s="8" t="n">
        <v>31</v>
      </c>
      <c r="N8" s="8" t="n">
        <v>32</v>
      </c>
      <c r="O8" s="8" t="n">
        <v>33</v>
      </c>
      <c r="P8" s="8" t="n">
        <v>34</v>
      </c>
      <c r="Q8" s="8" t="n">
        <v>35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5" t="inlineStr">
        <is>
          <t>Illustrative DCF Valuation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6" t="inlineStr">
        <is>
          <t>Metric</t>
        </is>
      </c>
      <c r="B2" s="6" t="inlineStr">
        <is>
          <t>FY27E</t>
        </is>
      </c>
      <c r="C2" s="6" t="inlineStr">
        <is>
          <t>FY28E</t>
        </is>
      </c>
      <c r="D2" s="6" t="inlineStr">
        <is>
          <t>FY29E</t>
        </is>
      </c>
      <c r="E2" s="6" t="inlineStr">
        <is>
          <t>FY30E</t>
        </is>
      </c>
      <c r="F2" s="6" t="inlineStr">
        <is>
          <t>FY31E</t>
        </is>
      </c>
      <c r="G2" s="2" t="n"/>
      <c r="H2" s="2" t="n"/>
    </row>
    <row r="3">
      <c r="A3" s="2" t="inlineStr">
        <is>
          <t>Revenue</t>
        </is>
      </c>
      <c r="B3" s="2">
        <f>'P&amp;L'!J3</f>
        <v/>
      </c>
      <c r="C3" s="2">
        <f>'P&amp;L'!N3</f>
        <v/>
      </c>
      <c r="D3" s="2">
        <f>C3*1.09</f>
        <v/>
      </c>
      <c r="E3" s="2">
        <f>D3*1.08</f>
        <v/>
      </c>
      <c r="F3" s="2">
        <f>E3*1.07</f>
        <v/>
      </c>
      <c r="G3" s="2" t="n"/>
      <c r="H3" s="2" t="n"/>
    </row>
    <row r="4">
      <c r="A4" s="2" t="inlineStr">
        <is>
          <t>EBITDA Margin</t>
        </is>
      </c>
      <c r="B4" s="9" t="n">
        <v>0.112</v>
      </c>
      <c r="C4" s="9" t="n">
        <v>0.117</v>
      </c>
      <c r="D4" s="9" t="n">
        <v>0.119</v>
      </c>
      <c r="E4" s="9" t="n">
        <v>0.12</v>
      </c>
      <c r="F4" s="9" t="n">
        <v>0.12</v>
      </c>
      <c r="G4" s="2" t="n"/>
      <c r="H4" s="2" t="n"/>
    </row>
    <row r="5">
      <c r="A5" s="2" t="inlineStr">
        <is>
          <t>EBITDA</t>
        </is>
      </c>
      <c r="B5" s="2">
        <f>B3*B4</f>
        <v/>
      </c>
      <c r="C5" s="2">
        <f>C3*C4</f>
        <v/>
      </c>
      <c r="D5" s="2">
        <f>D3*D4</f>
        <v/>
      </c>
      <c r="E5" s="2">
        <f>E3*E4</f>
        <v/>
      </c>
      <c r="F5" s="2">
        <f>F3*F4</f>
        <v/>
      </c>
      <c r="G5" s="2" t="n"/>
      <c r="H5" s="2" t="n"/>
    </row>
    <row r="6">
      <c r="A6" s="2" t="inlineStr">
        <is>
          <t>D&amp;A</t>
        </is>
      </c>
      <c r="B6" s="2">
        <f>'P&amp;L'!J10</f>
        <v/>
      </c>
      <c r="C6" s="2">
        <f>'P&amp;L'!N10</f>
        <v/>
      </c>
      <c r="D6" s="2">
        <f>D5*0.20</f>
        <v/>
      </c>
      <c r="E6" s="2">
        <f>E5*0.20</f>
        <v/>
      </c>
      <c r="F6" s="2">
        <f>F5*0.20</f>
        <v/>
      </c>
      <c r="G6" s="2" t="n"/>
      <c r="H6" s="2" t="n"/>
    </row>
    <row r="7">
      <c r="A7" s="2" t="inlineStr">
        <is>
          <t>EBIT</t>
        </is>
      </c>
      <c r="B7" s="2">
        <f>B5-B6</f>
        <v/>
      </c>
      <c r="C7" s="2">
        <f>C5-C6</f>
        <v/>
      </c>
      <c r="D7" s="2">
        <f>D5-D6</f>
        <v/>
      </c>
      <c r="E7" s="2">
        <f>E5-E6</f>
        <v/>
      </c>
      <c r="F7" s="2">
        <f>F5-F6</f>
        <v/>
      </c>
      <c r="G7" s="2" t="n"/>
      <c r="H7" s="2" t="n"/>
    </row>
    <row r="8">
      <c r="A8" s="2" t="inlineStr">
        <is>
          <t>Tax Rate</t>
        </is>
      </c>
      <c r="B8" s="9" t="n">
        <v>0.25</v>
      </c>
      <c r="C8" s="9" t="n">
        <v>0.25</v>
      </c>
      <c r="D8" s="9" t="n">
        <v>0.25</v>
      </c>
      <c r="E8" s="9" t="n">
        <v>0.25</v>
      </c>
      <c r="F8" s="9" t="n">
        <v>0.25</v>
      </c>
      <c r="G8" s="2" t="n"/>
      <c r="H8" s="2" t="n"/>
    </row>
    <row r="9">
      <c r="A9" s="2" t="inlineStr">
        <is>
          <t>NOPAT</t>
        </is>
      </c>
      <c r="B9" s="2">
        <f>B7*(1-B8)</f>
        <v/>
      </c>
      <c r="C9" s="2">
        <f>C7*(1-C8)</f>
        <v/>
      </c>
      <c r="D9" s="2">
        <f>D7*(1-D8)</f>
        <v/>
      </c>
      <c r="E9" s="2">
        <f>E7*(1-E8)</f>
        <v/>
      </c>
      <c r="F9" s="2">
        <f>F7*(1-F8)</f>
        <v/>
      </c>
      <c r="G9" s="2" t="n"/>
      <c r="H9" s="2" t="n"/>
    </row>
    <row r="10">
      <c r="A10" s="2" t="inlineStr">
        <is>
          <t>D&amp;A Add-back</t>
        </is>
      </c>
      <c r="B10" s="2">
        <f>B6</f>
        <v/>
      </c>
      <c r="C10" s="2">
        <f>C6</f>
        <v/>
      </c>
      <c r="D10" s="2">
        <f>D6</f>
        <v/>
      </c>
      <c r="E10" s="2">
        <f>E6</f>
        <v/>
      </c>
      <c r="F10" s="2">
        <f>F6</f>
        <v/>
      </c>
      <c r="G10" s="2" t="n"/>
      <c r="H10" s="2" t="n"/>
    </row>
    <row r="11">
      <c r="A11" s="2" t="inlineStr">
        <is>
          <t>Capex</t>
        </is>
      </c>
      <c r="B11" s="2" t="n">
        <v>-36</v>
      </c>
      <c r="C11" s="2" t="n">
        <v>-41</v>
      </c>
      <c r="D11" s="2" t="n">
        <v>-43</v>
      </c>
      <c r="E11" s="2" t="n">
        <v>-45</v>
      </c>
      <c r="F11" s="2" t="n">
        <v>-47</v>
      </c>
      <c r="G11" s="2" t="n"/>
      <c r="H11" s="2" t="n"/>
    </row>
    <row r="12">
      <c r="A12" s="2" t="inlineStr">
        <is>
          <t>Change in NWC</t>
        </is>
      </c>
      <c r="B12" s="2" t="n">
        <v>-5</v>
      </c>
      <c r="C12" s="2" t="n">
        <v>-5.5</v>
      </c>
      <c r="D12" s="2" t="n">
        <v>-5.8</v>
      </c>
      <c r="E12" s="2" t="n">
        <v>-6</v>
      </c>
      <c r="F12" s="2" t="n">
        <v>-6.2</v>
      </c>
      <c r="G12" s="2" t="n"/>
      <c r="H12" s="2" t="n"/>
    </row>
    <row r="13">
      <c r="A13" s="2" t="inlineStr">
        <is>
          <t>FCFF</t>
        </is>
      </c>
      <c r="B13" s="2">
        <f>SUM(B9:B12)</f>
        <v/>
      </c>
      <c r="C13" s="2">
        <f>SUM(C9:C12)</f>
        <v/>
      </c>
      <c r="D13" s="2">
        <f>SUM(D9:D12)</f>
        <v/>
      </c>
      <c r="E13" s="2">
        <f>SUM(E9:E12)</f>
        <v/>
      </c>
      <c r="F13" s="2">
        <f>SUM(F9:F12)</f>
        <v/>
      </c>
      <c r="G13" s="2" t="n"/>
      <c r="H13" s="2" t="n"/>
    </row>
    <row r="14">
      <c r="A14" s="2" t="inlineStr">
        <is>
          <t>WACC</t>
        </is>
      </c>
      <c r="B14" s="9" t="n">
        <v>0.095</v>
      </c>
      <c r="C14" s="9" t="n">
        <v>0.095</v>
      </c>
      <c r="D14" s="9" t="n">
        <v>0.095</v>
      </c>
      <c r="E14" s="9" t="n">
        <v>0.095</v>
      </c>
      <c r="F14" s="9" t="n">
        <v>0.095</v>
      </c>
      <c r="G14" s="2" t="n"/>
      <c r="H14" s="2" t="n"/>
    </row>
    <row r="15">
      <c r="A15" s="2" t="inlineStr">
        <is>
          <t>Discount Factor</t>
        </is>
      </c>
      <c r="B15" s="2">
        <f>1/(1+B14)^1</f>
        <v/>
      </c>
      <c r="C15" s="2">
        <f>1/(1+C14)^2</f>
        <v/>
      </c>
      <c r="D15" s="2">
        <f>1/(1+D14)^3</f>
        <v/>
      </c>
      <c r="E15" s="2">
        <f>1/(1+E14)^4</f>
        <v/>
      </c>
      <c r="F15" s="2">
        <f>1/(1+F14)^5</f>
        <v/>
      </c>
      <c r="G15" s="2" t="n"/>
      <c r="H15" s="2" t="n"/>
    </row>
    <row r="16">
      <c r="A16" s="2" t="inlineStr">
        <is>
          <t>PV of FCFF</t>
        </is>
      </c>
      <c r="B16" s="2">
        <f>B13*B15</f>
        <v/>
      </c>
      <c r="C16" s="2">
        <f>C13*C15</f>
        <v/>
      </c>
      <c r="D16" s="2">
        <f>D13*D15</f>
        <v/>
      </c>
      <c r="E16" s="2">
        <f>E13*E15</f>
        <v/>
      </c>
      <c r="F16" s="2">
        <f>F13*F15</f>
        <v/>
      </c>
      <c r="G16" s="2" t="n"/>
      <c r="H16" s="2" t="n"/>
    </row>
    <row r="17">
      <c r="A17" s="2" t="inlineStr">
        <is>
          <t>Terminal Growth</t>
        </is>
      </c>
      <c r="B17" s="9" t="n">
        <v>0.04</v>
      </c>
      <c r="C17" s="9" t="n"/>
      <c r="D17" s="9" t="n"/>
      <c r="E17" s="9" t="n"/>
      <c r="F17" s="9" t="n"/>
      <c r="G17" s="2" t="n"/>
      <c r="H17" s="2" t="n"/>
    </row>
    <row r="18">
      <c r="A18" s="2" t="inlineStr">
        <is>
          <t>Terminal Value</t>
        </is>
      </c>
      <c r="B18" s="2">
        <f>F13*(1+B17)/(B14-B17)</f>
        <v/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PV of Terminal Value</t>
        </is>
      </c>
      <c r="B19" s="2">
        <f>B18*F15</f>
        <v/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Enterprise Value</t>
        </is>
      </c>
      <c r="B20" s="2">
        <f>SUM(B16:F16)+B19</f>
        <v/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Net Debt</t>
        </is>
      </c>
      <c r="B21" s="2" t="n">
        <v>20</v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Illustrative Equity Value</t>
        </is>
      </c>
      <c r="B22" s="2">
        <f>B20-B21</f>
        <v/>
      </c>
      <c r="C22" s="2" t="n"/>
      <c r="D22" s="2" t="n"/>
      <c r="E22" s="2" t="n"/>
      <c r="F22" s="2" t="n"/>
      <c r="G22" s="2" t="n"/>
      <c r="H22" s="2" t="n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</cols>
  <sheetData>
    <row r="1">
      <c r="A1" s="5" t="inlineStr">
        <is>
          <t>Key Financial Ratios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6" t="inlineStr">
        <is>
          <t>Ratio</t>
        </is>
      </c>
      <c r="B2" s="6" t="inlineStr">
        <is>
          <t>Q1 FY25A</t>
        </is>
      </c>
      <c r="C2" s="6" t="inlineStr">
        <is>
          <t>Q2 FY25A</t>
        </is>
      </c>
      <c r="D2" s="6" t="inlineStr">
        <is>
          <t>Q3 FY25A</t>
        </is>
      </c>
      <c r="E2" s="6" t="inlineStr">
        <is>
          <t>Q4 FY25A</t>
        </is>
      </c>
      <c r="F2" s="6" t="inlineStr">
        <is>
          <t>Q1 FY26A</t>
        </is>
      </c>
      <c r="G2" s="6" t="inlineStr">
        <is>
          <t>Q2 FY26A</t>
        </is>
      </c>
      <c r="H2" s="6" t="inlineStr">
        <is>
          <t>Q3 FY26A</t>
        </is>
      </c>
      <c r="I2" s="6" t="inlineStr">
        <is>
          <t>Q4 FY26E</t>
        </is>
      </c>
      <c r="J2" s="6" t="inlineStr">
        <is>
          <t>Q1 FY27E</t>
        </is>
      </c>
      <c r="K2" s="6" t="inlineStr">
        <is>
          <t>Q2 FY27E</t>
        </is>
      </c>
      <c r="L2" s="6" t="inlineStr">
        <is>
          <t>Q3 FY27E</t>
        </is>
      </c>
      <c r="M2" s="6" t="inlineStr">
        <is>
          <t>Q4 FY27E</t>
        </is>
      </c>
      <c r="N2" s="6" t="inlineStr">
        <is>
          <t>Q1 FY28E</t>
        </is>
      </c>
      <c r="O2" s="6" t="inlineStr">
        <is>
          <t>Q2 FY28E</t>
        </is>
      </c>
      <c r="P2" s="6" t="inlineStr">
        <is>
          <t>Q3 FY28E</t>
        </is>
      </c>
      <c r="Q2" s="6" t="inlineStr">
        <is>
          <t>Q4 FY28E</t>
        </is>
      </c>
    </row>
    <row r="3">
      <c r="A3" s="2" t="inlineStr">
        <is>
          <t>Revenue Growth</t>
        </is>
      </c>
      <c r="B3" s="9" t="n"/>
      <c r="C3" s="9" t="n"/>
      <c r="D3" s="9" t="n"/>
      <c r="E3" s="9" t="n"/>
      <c r="F3" s="9">
        <f>'P&amp;L'!F3/'P&amp;L'!B3-1</f>
        <v/>
      </c>
      <c r="G3" s="9">
        <f>'P&amp;L'!G3/'P&amp;L'!C3-1</f>
        <v/>
      </c>
      <c r="H3" s="9">
        <f>'P&amp;L'!H3/'P&amp;L'!D3-1</f>
        <v/>
      </c>
      <c r="I3" s="9">
        <f>'P&amp;L'!I3/'P&amp;L'!E3-1</f>
        <v/>
      </c>
      <c r="J3" s="9">
        <f>'P&amp;L'!J3/'P&amp;L'!F3-1</f>
        <v/>
      </c>
      <c r="K3" s="9">
        <f>'P&amp;L'!K3/'P&amp;L'!G3-1</f>
        <v/>
      </c>
      <c r="L3" s="9">
        <f>'P&amp;L'!L3/'P&amp;L'!H3-1</f>
        <v/>
      </c>
      <c r="M3" s="9">
        <f>'P&amp;L'!M3/'P&amp;L'!I3-1</f>
        <v/>
      </c>
      <c r="N3" s="9">
        <f>'P&amp;L'!N3/'P&amp;L'!J3-1</f>
        <v/>
      </c>
      <c r="O3" s="9">
        <f>'P&amp;L'!O3/'P&amp;L'!K3-1</f>
        <v/>
      </c>
      <c r="P3" s="9">
        <f>'P&amp;L'!P3/'P&amp;L'!L3-1</f>
        <v/>
      </c>
      <c r="Q3" s="9">
        <f>'P&amp;L'!Q3/'P&amp;L'!M3-1</f>
        <v/>
      </c>
    </row>
    <row r="4">
      <c r="A4" s="2" t="inlineStr">
        <is>
          <t>EBITDA Margin</t>
        </is>
      </c>
      <c r="B4" s="9">
        <f>'P&amp;L'!B9</f>
        <v/>
      </c>
      <c r="C4" s="9">
        <f>'P&amp;L'!C9</f>
        <v/>
      </c>
      <c r="D4" s="9">
        <f>'P&amp;L'!D9</f>
        <v/>
      </c>
      <c r="E4" s="9">
        <f>'P&amp;L'!E9</f>
        <v/>
      </c>
      <c r="F4" s="9">
        <f>'P&amp;L'!F9</f>
        <v/>
      </c>
      <c r="G4" s="9">
        <f>'P&amp;L'!G9</f>
        <v/>
      </c>
      <c r="H4" s="9">
        <f>'P&amp;L'!H9</f>
        <v/>
      </c>
      <c r="I4" s="9">
        <f>'P&amp;L'!I9</f>
        <v/>
      </c>
      <c r="J4" s="9">
        <f>'P&amp;L'!J9</f>
        <v/>
      </c>
      <c r="K4" s="9">
        <f>'P&amp;L'!K9</f>
        <v/>
      </c>
      <c r="L4" s="9">
        <f>'P&amp;L'!L9</f>
        <v/>
      </c>
      <c r="M4" s="9">
        <f>'P&amp;L'!M9</f>
        <v/>
      </c>
      <c r="N4" s="9">
        <f>'P&amp;L'!N9</f>
        <v/>
      </c>
      <c r="O4" s="9">
        <f>'P&amp;L'!O9</f>
        <v/>
      </c>
      <c r="P4" s="9">
        <f>'P&amp;L'!P9</f>
        <v/>
      </c>
      <c r="Q4" s="9">
        <f>'P&amp;L'!Q9</f>
        <v/>
      </c>
    </row>
    <row r="5">
      <c r="A5" s="2" t="inlineStr">
        <is>
          <t>Net Margin</t>
        </is>
      </c>
      <c r="B5" s="9">
        <f>'P&amp;L'!B15/'P&amp;L'!B3</f>
        <v/>
      </c>
      <c r="C5" s="9">
        <f>'P&amp;L'!C15/'P&amp;L'!C3</f>
        <v/>
      </c>
      <c r="D5" s="9">
        <f>'P&amp;L'!D15/'P&amp;L'!D3</f>
        <v/>
      </c>
      <c r="E5" s="9">
        <f>'P&amp;L'!E15/'P&amp;L'!E3</f>
        <v/>
      </c>
      <c r="F5" s="9">
        <f>'P&amp;L'!F15/'P&amp;L'!F3</f>
        <v/>
      </c>
      <c r="G5" s="9">
        <f>'P&amp;L'!G15/'P&amp;L'!G3</f>
        <v/>
      </c>
      <c r="H5" s="9">
        <f>'P&amp;L'!H15/'P&amp;L'!H3</f>
        <v/>
      </c>
      <c r="I5" s="9">
        <f>'P&amp;L'!I15/'P&amp;L'!I3</f>
        <v/>
      </c>
      <c r="J5" s="9">
        <f>'P&amp;L'!J15/'P&amp;L'!J3</f>
        <v/>
      </c>
      <c r="K5" s="9">
        <f>'P&amp;L'!K15/'P&amp;L'!K3</f>
        <v/>
      </c>
      <c r="L5" s="9">
        <f>'P&amp;L'!L15/'P&amp;L'!L3</f>
        <v/>
      </c>
      <c r="M5" s="9">
        <f>'P&amp;L'!M15/'P&amp;L'!M3</f>
        <v/>
      </c>
      <c r="N5" s="9">
        <f>'P&amp;L'!N15/'P&amp;L'!N3</f>
        <v/>
      </c>
      <c r="O5" s="9">
        <f>'P&amp;L'!O15/'P&amp;L'!O3</f>
        <v/>
      </c>
      <c r="P5" s="9">
        <f>'P&amp;L'!P15/'P&amp;L'!P3</f>
        <v/>
      </c>
      <c r="Q5" s="9">
        <f>'P&amp;L'!Q15/'P&amp;L'!Q3</f>
        <v/>
      </c>
    </row>
    <row r="6">
      <c r="A6" s="2" t="inlineStr">
        <is>
          <t>Debt / EBITDA</t>
        </is>
      </c>
      <c r="B6" s="9">
        <f>'Balance Sheet'!B11/'P&amp;L'!B8</f>
        <v/>
      </c>
      <c r="C6" s="9">
        <f>'Balance Sheet'!C11/'P&amp;L'!C8</f>
        <v/>
      </c>
      <c r="D6" s="9">
        <f>'Balance Sheet'!D11/'P&amp;L'!D8</f>
        <v/>
      </c>
      <c r="E6" s="9">
        <f>'Balance Sheet'!E11/'P&amp;L'!E8</f>
        <v/>
      </c>
      <c r="F6" s="9">
        <f>'Balance Sheet'!F11/'P&amp;L'!F8</f>
        <v/>
      </c>
      <c r="G6" s="9">
        <f>'Balance Sheet'!G11/'P&amp;L'!G8</f>
        <v/>
      </c>
      <c r="H6" s="9">
        <f>'Balance Sheet'!H11/'P&amp;L'!H8</f>
        <v/>
      </c>
      <c r="I6" s="9">
        <f>'Balance Sheet'!I11/'P&amp;L'!I8</f>
        <v/>
      </c>
      <c r="J6" s="9">
        <f>'Balance Sheet'!J11/'P&amp;L'!J8</f>
        <v/>
      </c>
      <c r="K6" s="9">
        <f>'Balance Sheet'!K11/'P&amp;L'!K8</f>
        <v/>
      </c>
      <c r="L6" s="9">
        <f>'Balance Sheet'!L11/'P&amp;L'!L8</f>
        <v/>
      </c>
      <c r="M6" s="9">
        <f>'Balance Sheet'!M11/'P&amp;L'!M8</f>
        <v/>
      </c>
      <c r="N6" s="9">
        <f>'Balance Sheet'!N11/'P&amp;L'!N8</f>
        <v/>
      </c>
      <c r="O6" s="9">
        <f>'Balance Sheet'!O11/'P&amp;L'!O8</f>
        <v/>
      </c>
      <c r="P6" s="9">
        <f>'Balance Sheet'!P11/'P&amp;L'!P8</f>
        <v/>
      </c>
      <c r="Q6" s="9">
        <f>'Balance Sheet'!Q11/'P&amp;L'!Q8</f>
        <v/>
      </c>
    </row>
    <row r="7">
      <c r="A7" s="2" t="inlineStr">
        <is>
          <t>ROIC</t>
        </is>
      </c>
      <c r="B7" s="9">
        <f>'P&amp;L'!B11/('Balance Sheet'!B11+'Balance Sheet'!B12)</f>
        <v/>
      </c>
      <c r="C7" s="9">
        <f>'P&amp;L'!C11/('Balance Sheet'!C11+'Balance Sheet'!C12)</f>
        <v/>
      </c>
      <c r="D7" s="9">
        <f>'P&amp;L'!D11/('Balance Sheet'!D11+'Balance Sheet'!D12)</f>
        <v/>
      </c>
      <c r="E7" s="9">
        <f>'P&amp;L'!E11/('Balance Sheet'!E11+'Balance Sheet'!E12)</f>
        <v/>
      </c>
      <c r="F7" s="9">
        <f>'P&amp;L'!F11/('Balance Sheet'!F11+'Balance Sheet'!F12)</f>
        <v/>
      </c>
      <c r="G7" s="9">
        <f>'P&amp;L'!G11/('Balance Sheet'!G11+'Balance Sheet'!G12)</f>
        <v/>
      </c>
      <c r="H7" s="9">
        <f>'P&amp;L'!H11/('Balance Sheet'!H11+'Balance Sheet'!H12)</f>
        <v/>
      </c>
      <c r="I7" s="9">
        <f>'P&amp;L'!I11/('Balance Sheet'!I11+'Balance Sheet'!I12)</f>
        <v/>
      </c>
      <c r="J7" s="9">
        <f>'P&amp;L'!J11/('Balance Sheet'!J11+'Balance Sheet'!J12)</f>
        <v/>
      </c>
      <c r="K7" s="9">
        <f>'P&amp;L'!K11/('Balance Sheet'!K11+'Balance Sheet'!K12)</f>
        <v/>
      </c>
      <c r="L7" s="9">
        <f>'P&amp;L'!L11/('Balance Sheet'!L11+'Balance Sheet'!L12)</f>
        <v/>
      </c>
      <c r="M7" s="9">
        <f>'P&amp;L'!M11/('Balance Sheet'!M11+'Balance Sheet'!M12)</f>
        <v/>
      </c>
      <c r="N7" s="9">
        <f>'P&amp;L'!N11/('Balance Sheet'!N11+'Balance Sheet'!N12)</f>
        <v/>
      </c>
      <c r="O7" s="9">
        <f>'P&amp;L'!O11/('Balance Sheet'!O11+'Balance Sheet'!O12)</f>
        <v/>
      </c>
      <c r="P7" s="9">
        <f>'P&amp;L'!P11/('Balance Sheet'!P11+'Balance Sheet'!P12)</f>
        <v/>
      </c>
      <c r="Q7" s="9">
        <f>'P&amp;L'!Q11/('Balance Sheet'!Q11+'Balance Sheet'!Q12)</f>
        <v/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12" customWidth="1" min="8" max="8"/>
  </cols>
  <sheetData>
    <row r="1">
      <c r="A1" s="5" t="inlineStr">
        <is>
          <t>DCF Sensitivity — Illustrative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Equity Value Sensitivity to WACC / Terminal Growth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6" t="inlineStr">
        <is>
          <t>WACC \ g</t>
        </is>
      </c>
      <c r="B5" s="11" t="n">
        <v>0.03</v>
      </c>
      <c r="C5" s="11" t="n">
        <v>0.035</v>
      </c>
      <c r="D5" s="11" t="n">
        <v>0.04</v>
      </c>
      <c r="E5" s="11" t="n">
        <v>0.045</v>
      </c>
      <c r="F5" s="11" t="n">
        <v>0.05</v>
      </c>
      <c r="G5" s="2" t="n"/>
      <c r="H5" s="2" t="n"/>
    </row>
    <row r="6">
      <c r="A6" s="9" t="n">
        <v>0.08500000000000001</v>
      </c>
      <c r="B6" s="2">
        <f>('DCF Valuation'!F13*(1+B$5)/($A6-B$5))*'DCF Valuation'!F15+'DCF Valuation'!B16+'DCF Valuation'!C16+'DCF Valuation'!D16+'DCF Valuation'!E16+'DCF Valuation'!F16-'DCF Valuation'!B21</f>
        <v/>
      </c>
      <c r="C6" s="2">
        <f>('DCF Valuation'!F13*(1+C$5)/($A6-C$5))*'DCF Valuation'!F15+'DCF Valuation'!B16+'DCF Valuation'!C16+'DCF Valuation'!D16+'DCF Valuation'!E16+'DCF Valuation'!F16-'DCF Valuation'!B21</f>
        <v/>
      </c>
      <c r="D6" s="2">
        <f>('DCF Valuation'!F13*(1+D$5)/($A6-D$5))*'DCF Valuation'!F15+'DCF Valuation'!B16+'DCF Valuation'!C16+'DCF Valuation'!D16+'DCF Valuation'!E16+'DCF Valuation'!F16-'DCF Valuation'!B21</f>
        <v/>
      </c>
      <c r="E6" s="2">
        <f>('DCF Valuation'!F13*(1+E$5)/($A6-E$5))*'DCF Valuation'!F15+'DCF Valuation'!B16+'DCF Valuation'!C16+'DCF Valuation'!D16+'DCF Valuation'!E16+'DCF Valuation'!F16-'DCF Valuation'!B21</f>
        <v/>
      </c>
      <c r="F6" s="2">
        <f>('DCF Valuation'!F13*(1+F$5)/($A6-F$5))*'DCF Valuation'!F15+'DCF Valuation'!B16+'DCF Valuation'!C16+'DCF Valuation'!D16+'DCF Valuation'!E16+'DCF Valuation'!F16-'DCF Valuation'!B21</f>
        <v/>
      </c>
      <c r="G6" s="2" t="n"/>
      <c r="H6" s="2" t="n"/>
    </row>
    <row r="7">
      <c r="A7" s="9" t="n">
        <v>0.09</v>
      </c>
      <c r="B7" s="2">
        <f>('DCF Valuation'!F13*(1+B$5)/($A7-B$5))*'DCF Valuation'!F15+'DCF Valuation'!B16+'DCF Valuation'!C16+'DCF Valuation'!D16+'DCF Valuation'!E16+'DCF Valuation'!F16-'DCF Valuation'!B21</f>
        <v/>
      </c>
      <c r="C7" s="2">
        <f>('DCF Valuation'!F13*(1+C$5)/($A7-C$5))*'DCF Valuation'!F15+'DCF Valuation'!B16+'DCF Valuation'!C16+'DCF Valuation'!D16+'DCF Valuation'!E16+'DCF Valuation'!F16-'DCF Valuation'!B21</f>
        <v/>
      </c>
      <c r="D7" s="2">
        <f>('DCF Valuation'!F13*(1+D$5)/($A7-D$5))*'DCF Valuation'!F15+'DCF Valuation'!B16+'DCF Valuation'!C16+'DCF Valuation'!D16+'DCF Valuation'!E16+'DCF Valuation'!F16-'DCF Valuation'!B21</f>
        <v/>
      </c>
      <c r="E7" s="2">
        <f>('DCF Valuation'!F13*(1+E$5)/($A7-E$5))*'DCF Valuation'!F15+'DCF Valuation'!B16+'DCF Valuation'!C16+'DCF Valuation'!D16+'DCF Valuation'!E16+'DCF Valuation'!F16-'DCF Valuation'!B21</f>
        <v/>
      </c>
      <c r="F7" s="2">
        <f>('DCF Valuation'!F13*(1+F$5)/($A7-F$5))*'DCF Valuation'!F15+'DCF Valuation'!B16+'DCF Valuation'!C16+'DCF Valuation'!D16+'DCF Valuation'!E16+'DCF Valuation'!F16-'DCF Valuation'!B21</f>
        <v/>
      </c>
      <c r="G7" s="2" t="n"/>
      <c r="H7" s="2" t="n"/>
    </row>
    <row r="8">
      <c r="A8" s="9" t="n">
        <v>0.095</v>
      </c>
      <c r="B8" s="2">
        <f>('DCF Valuation'!F13*(1+B$5)/($A8-B$5))*'DCF Valuation'!F15+'DCF Valuation'!B16+'DCF Valuation'!C16+'DCF Valuation'!D16+'DCF Valuation'!E16+'DCF Valuation'!F16-'DCF Valuation'!B21</f>
        <v/>
      </c>
      <c r="C8" s="2">
        <f>('DCF Valuation'!F13*(1+C$5)/($A8-C$5))*'DCF Valuation'!F15+'DCF Valuation'!B16+'DCF Valuation'!C16+'DCF Valuation'!D16+'DCF Valuation'!E16+'DCF Valuation'!F16-'DCF Valuation'!B21</f>
        <v/>
      </c>
      <c r="D8" s="2">
        <f>('DCF Valuation'!F13*(1+D$5)/($A8-D$5))*'DCF Valuation'!F15+'DCF Valuation'!B16+'DCF Valuation'!C16+'DCF Valuation'!D16+'DCF Valuation'!E16+'DCF Valuation'!F16-'DCF Valuation'!B21</f>
        <v/>
      </c>
      <c r="E8" s="2">
        <f>('DCF Valuation'!F13*(1+E$5)/($A8-E$5))*'DCF Valuation'!F15+'DCF Valuation'!B16+'DCF Valuation'!C16+'DCF Valuation'!D16+'DCF Valuation'!E16+'DCF Valuation'!F16-'DCF Valuation'!B21</f>
        <v/>
      </c>
      <c r="F8" s="2">
        <f>('DCF Valuation'!F13*(1+F$5)/($A8-F$5))*'DCF Valuation'!F15+'DCF Valuation'!B16+'DCF Valuation'!C16+'DCF Valuation'!D16+'DCF Valuation'!E16+'DCF Valuation'!F16-'DCF Valuation'!B21</f>
        <v/>
      </c>
      <c r="G8" s="2" t="n"/>
      <c r="H8" s="2" t="n"/>
    </row>
    <row r="9">
      <c r="A9" s="9" t="n">
        <v>0.1</v>
      </c>
      <c r="B9" s="2">
        <f>('DCF Valuation'!F13*(1+B$5)/($A9-B$5))*'DCF Valuation'!F15+'DCF Valuation'!B16+'DCF Valuation'!C16+'DCF Valuation'!D16+'DCF Valuation'!E16+'DCF Valuation'!F16-'DCF Valuation'!B21</f>
        <v/>
      </c>
      <c r="C9" s="2">
        <f>('DCF Valuation'!F13*(1+C$5)/($A9-C$5))*'DCF Valuation'!F15+'DCF Valuation'!B16+'DCF Valuation'!C16+'DCF Valuation'!D16+'DCF Valuation'!E16+'DCF Valuation'!F16-'DCF Valuation'!B21</f>
        <v/>
      </c>
      <c r="D9" s="2">
        <f>('DCF Valuation'!F13*(1+D$5)/($A9-D$5))*'DCF Valuation'!F15+'DCF Valuation'!B16+'DCF Valuation'!C16+'DCF Valuation'!D16+'DCF Valuation'!E16+'DCF Valuation'!F16-'DCF Valuation'!B21</f>
        <v/>
      </c>
      <c r="E9" s="2">
        <f>('DCF Valuation'!F13*(1+E$5)/($A9-E$5))*'DCF Valuation'!F15+'DCF Valuation'!B16+'DCF Valuation'!C16+'DCF Valuation'!D16+'DCF Valuation'!E16+'DCF Valuation'!F16-'DCF Valuation'!B21</f>
        <v/>
      </c>
      <c r="F9" s="2">
        <f>('DCF Valuation'!F13*(1+F$5)/($A9-F$5))*'DCF Valuation'!F15+'DCF Valuation'!B16+'DCF Valuation'!C16+'DCF Valuation'!D16+'DCF Valuation'!E16+'DCF Valuation'!F16-'DCF Valuation'!B21</f>
        <v/>
      </c>
      <c r="G9" s="2" t="n"/>
      <c r="H9" s="2" t="n"/>
    </row>
    <row r="10">
      <c r="A10" s="9" t="n">
        <v>0.105</v>
      </c>
      <c r="B10" s="2">
        <f>('DCF Valuation'!F13*(1+B$5)/($A10-B$5))*'DCF Valuation'!F15+'DCF Valuation'!B16+'DCF Valuation'!C16+'DCF Valuation'!D16+'DCF Valuation'!E16+'DCF Valuation'!F16-'DCF Valuation'!B21</f>
        <v/>
      </c>
      <c r="C10" s="2">
        <f>('DCF Valuation'!F13*(1+C$5)/($A10-C$5))*'DCF Valuation'!F15+'DCF Valuation'!B16+'DCF Valuation'!C16+'DCF Valuation'!D16+'DCF Valuation'!E16+'DCF Valuation'!F16-'DCF Valuation'!B21</f>
        <v/>
      </c>
      <c r="D10" s="2">
        <f>('DCF Valuation'!F13*(1+D$5)/($A10-D$5))*'DCF Valuation'!F15+'DCF Valuation'!B16+'DCF Valuation'!C16+'DCF Valuation'!D16+'DCF Valuation'!E16+'DCF Valuation'!F16-'DCF Valuation'!B21</f>
        <v/>
      </c>
      <c r="E10" s="2">
        <f>('DCF Valuation'!F13*(1+E$5)/($A10-E$5))*'DCF Valuation'!F15+'DCF Valuation'!B16+'DCF Valuation'!C16+'DCF Valuation'!D16+'DCF Valuation'!E16+'DCF Valuation'!F16-'DCF Valuation'!B21</f>
        <v/>
      </c>
      <c r="F10" s="2">
        <f>('DCF Valuation'!F13*(1+F$5)/($A10-F$5))*'DCF Valuation'!F15+'DCF Valuation'!B16+'DCF Valuation'!C16+'DCF Valuation'!D16+'DCF Valuation'!E16+'DCF Valuation'!F16-'DCF Valuation'!B21</f>
        <v/>
      </c>
      <c r="G10" s="2" t="n"/>
      <c r="H10" s="2" t="n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5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Model Integrity Checks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6" t="inlineStr">
        <is>
          <t>Check</t>
        </is>
      </c>
      <c r="B2" s="6" t="inlineStr">
        <is>
          <t>Formula</t>
        </is>
      </c>
      <c r="C2" s="6" t="inlineStr">
        <is>
          <t>Status</t>
        </is>
      </c>
      <c r="D2" s="2" t="n"/>
      <c r="E2" s="2" t="n"/>
      <c r="F2" s="2" t="n"/>
      <c r="G2" s="2" t="n"/>
      <c r="H2" s="2" t="n"/>
    </row>
    <row r="3">
      <c r="A3" s="2" t="inlineStr">
        <is>
          <t>Balance Sheet Balances</t>
        </is>
      </c>
      <c r="B3" s="2">
        <f>'Balance Sheet'!B15</f>
        <v/>
      </c>
      <c r="C3" s="2" t="inlineStr">
        <is>
          <t>Should be 0</t>
        </is>
      </c>
      <c r="D3" s="2" t="n"/>
      <c r="E3" s="2" t="n"/>
      <c r="F3" s="2" t="n"/>
      <c r="G3" s="2" t="n"/>
      <c r="H3" s="2" t="n"/>
    </row>
    <row r="4">
      <c r="A4" s="2" t="inlineStr">
        <is>
          <t>Balance Sheet Balances FY28E</t>
        </is>
      </c>
      <c r="B4" s="2">
        <f>'Balance Sheet'!Q15</f>
        <v/>
      </c>
      <c r="C4" s="2" t="inlineStr">
        <is>
          <t>Should be 0</t>
        </is>
      </c>
      <c r="D4" s="2" t="n"/>
      <c r="E4" s="2" t="n"/>
      <c r="F4" s="2" t="n"/>
      <c r="G4" s="2" t="n"/>
      <c r="H4" s="2" t="n"/>
    </row>
    <row r="5">
      <c r="A5" s="2" t="inlineStr">
        <is>
          <t>DCF Uses Positive WACC</t>
        </is>
      </c>
      <c r="B5" s="2">
        <f>'DCF Valuation'!B14</f>
        <v/>
      </c>
      <c r="C5" s="2" t="inlineStr">
        <is>
          <t>Should be &gt; terminal growth</t>
        </is>
      </c>
      <c r="D5" s="2" t="n"/>
      <c r="E5" s="2" t="n"/>
      <c r="F5" s="2" t="n"/>
      <c r="G5" s="2" t="n"/>
      <c r="H5" s="2" t="n"/>
    </row>
    <row r="6">
      <c r="A6" s="2" t="inlineStr">
        <is>
          <t>Forecast EBITDA Margin</t>
        </is>
      </c>
      <c r="B6" s="2">
        <f>'P&amp;L'!J9</f>
        <v/>
      </c>
      <c r="C6" s="2" t="inlineStr">
        <is>
          <t>Should align with assumption</t>
        </is>
      </c>
      <c r="D6" s="2" t="n"/>
      <c r="E6" s="2" t="n"/>
      <c r="F6" s="2" t="n"/>
      <c r="G6" s="2" t="n"/>
      <c r="H6" s="2" t="n"/>
    </row>
    <row r="7">
      <c r="A7" s="2" t="inlineStr">
        <is>
          <t>Forecast Store Growth</t>
        </is>
      </c>
      <c r="B7" s="2">
        <f>'Operating Metrics'!J4</f>
        <v/>
      </c>
      <c r="C7" s="2" t="inlineStr">
        <is>
          <t>Driver</t>
        </is>
      </c>
      <c r="D7" s="2" t="n"/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2026-09-27T08:35:00Z</dcterms:created>
  <dcterms:modified xmlns:dcterms="http://purl.org/dc/terms/" xmlns:xsi="http://www.w3.org/2001/XMLSchema-instance" xsi:type="dcterms:W3CDTF">2026-09-27T08:35:00Z</dcterms:modified>
</cp:coreProperties>
</file>